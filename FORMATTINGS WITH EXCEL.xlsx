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ANALYTICS\"/>
    </mc:Choice>
  </mc:AlternateContent>
  <xr:revisionPtr revIDLastSave="0" documentId="13_ncr:1_{F6637347-EBF9-4747-B660-AEB76374C3FD}" xr6:coauthVersionLast="47" xr6:coauthVersionMax="47" xr10:uidLastSave="{00000000-0000-0000-0000-000000000000}"/>
  <bookViews>
    <workbookView xWindow="-120" yWindow="-120" windowWidth="29040" windowHeight="15720" tabRatio="862" activeTab="1" xr2:uid="{2EE7C22B-EE73-4F20-9D87-EE5A544167A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" i="1" l="1"/>
  <c r="W31" i="1"/>
</calcChain>
</file>

<file path=xl/sharedStrings.xml><?xml version="1.0" encoding="utf-8"?>
<sst xmlns="http://schemas.openxmlformats.org/spreadsheetml/2006/main" count="342" uniqueCount="153">
  <si>
    <t>Employee ID</t>
  </si>
  <si>
    <t>Employee Name</t>
  </si>
  <si>
    <t>Department</t>
  </si>
  <si>
    <t>Sales Amount</t>
  </si>
  <si>
    <t>Target</t>
  </si>
  <si>
    <t>Performance %</t>
  </si>
  <si>
    <t>Rating</t>
  </si>
  <si>
    <t>E101</t>
  </si>
  <si>
    <t>Ravi</t>
  </si>
  <si>
    <t>Sales</t>
  </si>
  <si>
    <t>Good</t>
  </si>
  <si>
    <t>E102</t>
  </si>
  <si>
    <t>Priya</t>
  </si>
  <si>
    <t>Excellent</t>
  </si>
  <si>
    <t>E103</t>
  </si>
  <si>
    <t>Kiran</t>
  </si>
  <si>
    <t>Marketing</t>
  </si>
  <si>
    <t>Average</t>
  </si>
  <si>
    <t>E104</t>
  </si>
  <si>
    <t>Anjali</t>
  </si>
  <si>
    <t>E105</t>
  </si>
  <si>
    <t>Suresh</t>
  </si>
  <si>
    <t>HR</t>
  </si>
  <si>
    <t>Poor</t>
  </si>
  <si>
    <t>E106</t>
  </si>
  <si>
    <t>Divya</t>
  </si>
  <si>
    <t>Finance</t>
  </si>
  <si>
    <t>E107</t>
  </si>
  <si>
    <t>Teja</t>
  </si>
  <si>
    <t>E108</t>
  </si>
  <si>
    <t>Sneha</t>
  </si>
  <si>
    <t>E109</t>
  </si>
  <si>
    <t>Arjun</t>
  </si>
  <si>
    <t>E110</t>
  </si>
  <si>
    <t>Keerthi</t>
  </si>
  <si>
    <t>CUSTOM FORMATTING</t>
  </si>
  <si>
    <t>Phone Number</t>
  </si>
  <si>
    <t>Zip Code</t>
  </si>
  <si>
    <t>Joining Date</t>
  </si>
  <si>
    <t>Salary</t>
  </si>
  <si>
    <t>Bonus</t>
  </si>
  <si>
    <t>Rahul Sharma</t>
  </si>
  <si>
    <t>Priya Reddy</t>
  </si>
  <si>
    <t>Kiran Kumar</t>
  </si>
  <si>
    <t>Anjali Devi</t>
  </si>
  <si>
    <t>Suresh Babu</t>
  </si>
  <si>
    <t>Divya Sri</t>
  </si>
  <si>
    <t>Teja Varma</t>
  </si>
  <si>
    <t>Sneha Rao</t>
  </si>
  <si>
    <t>Arjun Sai</t>
  </si>
  <si>
    <t>Keerthi Lakshmi</t>
  </si>
  <si>
    <t>Interval</t>
  </si>
  <si>
    <t>0-10</t>
  </si>
  <si>
    <t>20-30</t>
  </si>
  <si>
    <t>13-14</t>
  </si>
  <si>
    <t>CONDITIONAL FORMATTING</t>
  </si>
  <si>
    <t>Emp ID</t>
  </si>
  <si>
    <t>Age</t>
  </si>
  <si>
    <t>Experience (Years)</t>
  </si>
  <si>
    <t>Salary (₹)</t>
  </si>
  <si>
    <t>Monthly Sales (₹)</t>
  </si>
  <si>
    <t>Customer Rating</t>
  </si>
  <si>
    <t>Column 1</t>
  </si>
  <si>
    <t>Column 2</t>
  </si>
  <si>
    <t>Anova: Single Factor</t>
  </si>
  <si>
    <t>SUMMARY</t>
  </si>
  <si>
    <t>Groups</t>
  </si>
  <si>
    <t>Count</t>
  </si>
  <si>
    <t>Sum</t>
  </si>
  <si>
    <t>Variance</t>
  </si>
  <si>
    <t>Column1</t>
  </si>
  <si>
    <t>Column2</t>
  </si>
  <si>
    <t>Column3</t>
  </si>
  <si>
    <t>Column4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</si>
  <si>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</si>
  <si>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</si>
  <si>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</si>
  <si>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</si>
  <si>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</si>
  <si>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</si>
  <si>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</si>
  <si>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</si>
  <si>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</si>
  <si>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Column5</t>
  </si>
  <si>
    <t>Column6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</si>
  <si>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</si>
  <si>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</si>
  <si>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</si>
  <si>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</si>
  <si>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</si>
  <si>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</si>
  <si>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</si>
  <si>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</si>
  <si>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Column7</t>
  </si>
  <si>
    <t>Anova: Two-Factor Without Replication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</si>
  <si>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</si>
  <si>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</si>
  <si>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</si>
  <si>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</si>
  <si>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</si>
  <si>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</si>
  <si>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</si>
  <si>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</si>
  <si>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</si>
  <si>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</si>
  <si>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Rows</t>
  </si>
  <si>
    <t>Error</t>
  </si>
  <si>
    <t>Bin</t>
  </si>
  <si>
    <t>More</t>
  </si>
  <si>
    <t>Frequency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</si>
  <si>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</si>
  <si>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</si>
  <si>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</si>
  <si>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</si>
  <si>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</si>
  <si>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</si>
  <si>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</si>
  <si>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</si>
  <si>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</si>
  <si>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</si>
  <si>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</si>
  <si>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</si>
  <si>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</si>
  <si>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</si>
  <si>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</si>
  <si>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</si>
  <si>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</si>
  <si>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t-Test: Paired Two Sample for Means</t>
  </si>
  <si>
    <t>Mean</t>
  </si>
  <si>
    <t>Pearson Correlation</t>
  </si>
  <si>
    <t>Hypothesized Mean Difference</t>
  </si>
  <si>
    <t>P(T&lt;=t) one-tail</t>
  </si>
  <si>
    <t>t Critical one-tail</t>
  </si>
  <si>
    <t>P(T&lt;=t) two-tail</t>
  </si>
  <si>
    <t>t Critical two-tail</t>
  </si>
  <si>
    <t>Student ID</t>
  </si>
  <si>
    <t>Study Hours/Week</t>
  </si>
  <si>
    <t>Attendance (%)</t>
  </si>
  <si>
    <t>Assignment Score</t>
  </si>
  <si>
    <t>Final Exam Score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</si>
  <si>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</si>
  <si>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</si>
  <si>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</si>
  <si>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</si>
  <si>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</si>
  <si>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</si>
  <si>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</si>
  <si>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</si>
  <si>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</si>
  <si>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</si>
  <si>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Section A</t>
  </si>
  <si>
    <t>Section B</t>
  </si>
  <si>
    <t>Section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</si>
</sst>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EMP-&quot;000"/>
    <numFmt numFmtId="165" formatCode="[Green]\+&quot;₹&quot;#,##0;[Red]\-&quot;₹&quot;#,##0"/>
    <numFmt numFmtId="166" formatCode="&quot;₹&quot;#,##0"/>
    <numFmt numFmtId="167" formatCode="[$-F800]dddd\,\ mmmm\ dd\,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DEBF7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9" fontId="3" fillId="0" borderId="2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9" fontId="3" fillId="0" borderId="9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49" fontId="0" fillId="4" borderId="2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166" fontId="0" fillId="3" borderId="2" xfId="0" applyNumberFormat="1" applyFill="1" applyBorder="1" applyAlignment="1">
      <alignment horizontal="right" vertical="center" wrapText="1"/>
    </xf>
    <xf numFmtId="165" fontId="0" fillId="0" borderId="2" xfId="0" applyNumberFormat="1" applyBorder="1" applyAlignment="1">
      <alignment horizontal="right" vertical="center" wrapText="1"/>
    </xf>
    <xf numFmtId="0" fontId="0" fillId="9" borderId="2" xfId="0" applyFill="1" applyBorder="1" applyAlignment="1">
      <alignment horizontal="right" vertical="center" wrapText="1"/>
    </xf>
    <xf numFmtId="0" fontId="0" fillId="10" borderId="4" xfId="0" applyFill="1" applyBorder="1" applyAlignment="1">
      <alignment vertical="center" wrapText="1"/>
    </xf>
    <xf numFmtId="49" fontId="0" fillId="4" borderId="9" xfId="0" applyNumberFormat="1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166" fontId="0" fillId="3" borderId="9" xfId="0" applyNumberFormat="1" applyFill="1" applyBorder="1" applyAlignment="1">
      <alignment horizontal="right" vertical="center" wrapText="1"/>
    </xf>
    <xf numFmtId="165" fontId="0" fillId="0" borderId="9" xfId="0" applyNumberFormat="1" applyBorder="1" applyAlignment="1">
      <alignment horizontal="right" vertical="center" wrapText="1"/>
    </xf>
    <xf numFmtId="0" fontId="0" fillId="9" borderId="9" xfId="0" applyFill="1" applyBorder="1" applyAlignment="1">
      <alignment horizontal="right" vertical="center" wrapText="1"/>
    </xf>
    <xf numFmtId="0" fontId="0" fillId="10" borderId="10" xfId="0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164" fontId="0" fillId="11" borderId="3" xfId="0" applyNumberFormat="1" applyFill="1" applyBorder="1" applyAlignment="1">
      <alignment vertical="center" wrapText="1"/>
    </xf>
    <xf numFmtId="164" fontId="0" fillId="11" borderId="8" xfId="0" applyNumberFormat="1" applyFill="1" applyBorder="1" applyAlignment="1">
      <alignment vertical="center" wrapText="1"/>
    </xf>
    <xf numFmtId="167" fontId="0" fillId="8" borderId="2" xfId="0" applyNumberFormat="1" applyFill="1" applyBorder="1" applyAlignment="1">
      <alignment vertical="center" wrapText="1"/>
    </xf>
    <xf numFmtId="167" fontId="0" fillId="8" borderId="9" xfId="0" applyNumberFormat="1" applyFill="1" applyBorder="1" applyAlignment="1">
      <alignment vertical="center" wrapText="1"/>
    </xf>
    <xf numFmtId="17" fontId="0" fillId="0" borderId="0" xfId="0" applyNumberFormat="1"/>
    <xf numFmtId="16" fontId="0" fillId="0" borderId="0" xfId="0" applyNumberFormat="1"/>
    <xf numFmtId="0" fontId="0" fillId="0" borderId="12" xfId="0" applyBorder="1"/>
    <xf numFmtId="0" fontId="0" fillId="0" borderId="7" xfId="0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5" xfId="0" applyFill="1" applyBorder="1" applyAlignment="1"/>
    <xf numFmtId="0" fontId="6" fillId="0" borderId="16" xfId="0" applyFont="1" applyFill="1" applyBorder="1" applyAlignment="1">
      <alignment horizontal="center"/>
    </xf>
    <xf numFmtId="0" fontId="0" fillId="0" borderId="0" xfId="0" applyBorder="1"/>
    <xf numFmtId="0" fontId="6" fillId="0" borderId="0" xfId="0" applyFont="1" applyFill="1" applyBorder="1" applyAlignment="1">
      <alignment horizontal="center"/>
    </xf>
    <xf numFmtId="0" fontId="0" fillId="0" borderId="15" xfId="0" applyBorder="1"/>
    <xf numFmtId="0" fontId="0" fillId="0" borderId="27" xfId="0" applyFill="1" applyBorder="1" applyAlignment="1"/>
    <xf numFmtId="0" fontId="0" fillId="0" borderId="29" xfId="0" applyFill="1" applyBorder="1" applyAlignment="1"/>
    <xf numFmtId="0" fontId="0" fillId="0" borderId="25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3" fillId="0" borderId="0" xfId="0" applyFont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/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9" fillId="0" borderId="2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9" fillId="0" borderId="16" xfId="0" applyFont="1" applyFill="1" applyBorder="1" applyAlignment="1">
      <alignment horizontal="center"/>
    </xf>
    <xf numFmtId="0" fontId="3" fillId="0" borderId="15" xfId="0" applyFont="1" applyFill="1" applyBorder="1" applyAlignment="1"/>
    <xf numFmtId="0" fontId="3" fillId="0" borderId="13" xfId="0" applyFont="1" applyBorder="1"/>
    <xf numFmtId="0" fontId="3" fillId="0" borderId="25" xfId="0" applyFont="1" applyBorder="1"/>
    <xf numFmtId="0" fontId="3" fillId="0" borderId="14" xfId="0" applyFont="1" applyBorder="1"/>
    <xf numFmtId="0" fontId="3" fillId="0" borderId="26" xfId="0" applyFont="1" applyBorder="1"/>
    <xf numFmtId="0" fontId="3" fillId="0" borderId="28" xfId="0" applyFont="1" applyBorder="1"/>
    <xf numFmtId="0" fontId="9" fillId="0" borderId="32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3" fillId="0" borderId="27" xfId="0" applyFont="1" applyFill="1" applyBorder="1" applyAlignment="1"/>
    <xf numFmtId="0" fontId="3" fillId="0" borderId="28" xfId="0" applyFont="1" applyFill="1" applyBorder="1" applyAlignment="1"/>
    <xf numFmtId="0" fontId="3" fillId="0" borderId="29" xfId="0" applyFont="1" applyFill="1" applyBorder="1" applyAlignment="1"/>
    <xf numFmtId="0" fontId="3" fillId="0" borderId="30" xfId="0" applyFont="1" applyFill="1" applyBorder="1" applyAlignment="1"/>
    <xf numFmtId="0" fontId="3" fillId="0" borderId="2" xfId="0" applyFont="1" applyBorder="1"/>
    <xf numFmtId="0" fontId="3" fillId="0" borderId="20" xfId="0" applyFont="1" applyBorder="1"/>
    <xf numFmtId="0" fontId="3" fillId="0" borderId="21" xfId="0" applyFont="1" applyBorder="1"/>
    <xf numFmtId="0" fontId="9" fillId="0" borderId="21" xfId="0" applyFont="1" applyFill="1" applyBorder="1" applyAlignment="1">
      <alignment horizontal="center"/>
    </xf>
    <xf numFmtId="0" fontId="3" fillId="0" borderId="20" xfId="0" applyFont="1" applyFill="1" applyBorder="1" applyAlignment="1"/>
    <xf numFmtId="0" fontId="3" fillId="0" borderId="21" xfId="0" applyFont="1" applyFill="1" applyBorder="1" applyAlignment="1"/>
    <xf numFmtId="0" fontId="3" fillId="0" borderId="22" xfId="0" applyFont="1" applyFill="1" applyBorder="1" applyAlignment="1"/>
    <xf numFmtId="0" fontId="3" fillId="0" borderId="23" xfId="0" applyFont="1" applyFill="1" applyBorder="1" applyAlignment="1"/>
    <xf numFmtId="0" fontId="3" fillId="0" borderId="24" xfId="0" applyFont="1" applyFill="1" applyBorder="1" applyAlignment="1"/>
    <xf numFmtId="0" fontId="9" fillId="0" borderId="3" xfId="0" applyFont="1" applyFill="1" applyBorder="1" applyAlignment="1">
      <alignment horizontal="center"/>
    </xf>
    <xf numFmtId="0" fontId="3" fillId="0" borderId="33" xfId="0" applyFont="1" applyBorder="1"/>
    <xf numFmtId="0" fontId="3" fillId="0" borderId="34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9" fillId="0" borderId="17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right"/>
    </xf>
    <xf numFmtId="0" fontId="9" fillId="0" borderId="20" xfId="0" applyFont="1" applyFill="1" applyBorder="1" applyAlignment="1">
      <alignment horizontal="right"/>
    </xf>
    <xf numFmtId="0" fontId="9" fillId="0" borderId="21" xfId="0" applyFont="1" applyFill="1" applyBorder="1" applyAlignment="1">
      <alignment horizontal="right"/>
    </xf>
    <xf numFmtId="0" fontId="3" fillId="0" borderId="2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0" fillId="0" borderId="17" xfId="0" applyBorder="1"/>
    <xf numFmtId="0" fontId="0" fillId="0" borderId="20" xfId="0" applyBorder="1"/>
    <xf numFmtId="0" fontId="0" fillId="0" borderId="22" xfId="0" applyBorder="1"/>
    <xf numFmtId="0" fontId="3" fillId="0" borderId="2" xfId="0" applyNumberFormat="1" applyFont="1" applyFill="1" applyBorder="1" applyAlignment="1"/>
    <xf numFmtId="0" fontId="9" fillId="0" borderId="2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6" fillId="0" borderId="32" xfId="0" applyFont="1" applyFill="1" applyBorder="1" applyAlignment="1">
      <alignment horizontal="center"/>
    </xf>
    <xf numFmtId="0" fontId="0" fillId="0" borderId="35" xfId="0" applyBorder="1"/>
    <xf numFmtId="0" fontId="0" fillId="0" borderId="28" xfId="0" applyBorder="1"/>
    <xf numFmtId="0" fontId="0" fillId="0" borderId="30" xfId="0" applyBorder="1"/>
    <xf numFmtId="0" fontId="10" fillId="0" borderId="0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" xfId="0" applyFont="1" applyBorder="1"/>
    <xf numFmtId="0" fontId="10" fillId="0" borderId="21" xfId="0" applyFont="1" applyBorder="1"/>
    <xf numFmtId="0" fontId="11" fillId="0" borderId="20" xfId="0" applyFont="1" applyFill="1" applyBorder="1" applyAlignment="1">
      <alignment horizontal="centerContinuous"/>
    </xf>
    <xf numFmtId="0" fontId="11" fillId="0" borderId="2" xfId="0" applyFont="1" applyFill="1" applyBorder="1" applyAlignment="1">
      <alignment horizontal="centerContinuous"/>
    </xf>
    <xf numFmtId="0" fontId="10" fillId="0" borderId="20" xfId="0" applyFont="1" applyFill="1" applyBorder="1" applyAlignment="1"/>
    <xf numFmtId="0" fontId="10" fillId="0" borderId="2" xfId="0" applyFont="1" applyFill="1" applyBorder="1" applyAlignment="1"/>
    <xf numFmtId="0" fontId="11" fillId="0" borderId="20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10" fillId="0" borderId="22" xfId="0" applyFont="1" applyFill="1" applyBorder="1" applyAlignment="1"/>
    <xf numFmtId="0" fontId="10" fillId="0" borderId="23" xfId="0" applyFont="1" applyFill="1" applyBorder="1" applyAlignment="1"/>
    <xf numFmtId="0" fontId="10" fillId="0" borderId="24" xfId="0" applyFont="1" applyFill="1" applyBorder="1" applyAlignment="1"/>
    <xf numFmtId="0" fontId="10" fillId="0" borderId="28" xfId="0" applyFont="1" applyBorder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right"/>
    </xf>
    <xf numFmtId="0" fontId="5" fillId="0" borderId="0" xfId="0" applyFont="1" applyBorder="1"/>
    <xf numFmtId="0" fontId="4" fillId="0" borderId="0" xfId="0" applyFont="1" applyBorder="1"/>
    <xf numFmtId="0" fontId="2" fillId="3" borderId="1" xfId="0" applyFont="1" applyFill="1" applyBorder="1"/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auto="1"/>
          <bgColor rgb="FFCCFFCC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Green]\+&quot;₹&quot;#,##0;[Red]\-&quot;₹&quot;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#,##0"/>
      <fill>
        <patternFill patternType="solid">
          <fgColor indexed="64"/>
          <bgColor theme="7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[$-F800]dddd\,\ mmmm\ dd\,\ yyyy"/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CCFF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EMP-&quot;000"/>
      <fill>
        <patternFill patternType="solid">
          <fgColor indexed="64"/>
          <bgColor rgb="FFDDEBF7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EBF7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1EB0F-FB00-4DE2-8B94-5FF0F7A8FE5E}" name="Table1" displayName="Table1" ref="L7:R17" totalsRowShown="0" headerRowDxfId="52" headerRowBorderDxfId="51" tableBorderDxfId="50" totalsRowBorderDxfId="49">
  <autoFilter ref="L7:R17" xr:uid="{99F1EB0F-FB00-4DE2-8B94-5FF0F7A8FE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631F342-6F3A-44AE-97C9-CD8B4430F68F}" name="Employee ID" dataDxfId="48"/>
    <tableColumn id="2" xr3:uid="{677B6684-7A67-4E3D-9905-2FA1D7BB4474}" name="Employee Name" dataDxfId="47"/>
    <tableColumn id="3" xr3:uid="{21D1000E-CBE3-4C7E-AF29-634E1094845B}" name="Department" dataDxfId="46"/>
    <tableColumn id="4" xr3:uid="{FEF2121D-E8FA-4B6C-95EA-9DB126AAE87B}" name="Sales Amount" dataDxfId="45"/>
    <tableColumn id="5" xr3:uid="{09C8AAA9-A717-4226-BF59-466F304E2FA0}" name="Target" dataDxfId="44"/>
    <tableColumn id="6" xr3:uid="{AA47C20E-850C-402C-8EFB-6DF01A8A5A4F}" name="Performance %" dataDxfId="43"/>
    <tableColumn id="7" xr3:uid="{BE6E876D-0B29-4DB1-86CA-E28096EC90A0}" name="Rating" dataDxfId="4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3B7B3-3CCB-44AA-8702-3D5405B52FE9}" name="Table2" displayName="Table2" ref="A7:J17" totalsRowShown="0" headerRowDxfId="41" dataDxfId="39" headerRowBorderDxfId="40" tableBorderDxfId="38" totalsRowBorderDxfId="37">
  <autoFilter ref="A7:J17" xr:uid="{17E3B7B3-3CCB-44AA-8702-3D5405B52F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B4B6D3F-9DF7-41D6-81C4-8176C63B5E04}" name="Employee ID" dataDxfId="36"/>
    <tableColumn id="2" xr3:uid="{B1ACAB0D-1B86-4D18-B7A6-7F67386EEE99}" name="Employee Name" dataDxfId="35"/>
    <tableColumn id="3" xr3:uid="{E7B1C67B-B96A-405E-B287-BB80C2DE8D7F}" name="Department" dataDxfId="34"/>
    <tableColumn id="4" xr3:uid="{19FC379F-0C2A-4298-951C-8FB6820DD694}" name="Phone Number" dataDxfId="33"/>
    <tableColumn id="5" xr3:uid="{FF245F96-709A-48D3-A3F3-F9EB73E8E3FF}" name="Zip Code" dataDxfId="32"/>
    <tableColumn id="6" xr3:uid="{0F018195-2D3C-425C-B4D4-30B40A754A73}" name="Joining Date" dataDxfId="31"/>
    <tableColumn id="7" xr3:uid="{FF7817B2-1A2B-4E89-92DF-C9E1231ECC97}" name="Salary" dataDxfId="30"/>
    <tableColumn id="8" xr3:uid="{48901628-34D5-4D07-845A-8326178DE079}" name="Bonus" dataDxfId="29"/>
    <tableColumn id="9" xr3:uid="{DB6A999F-A6E8-42AD-B8C8-C4D96FC62950}" name="Performance %" dataDxfId="28"/>
    <tableColumn id="10" xr3:uid="{19818B07-54E2-4F46-A301-615534F4BD74}" name="Rating" dataDxfId="2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55E10C-4C67-4DD9-BE31-2606AB3252F5}" name="Table3" displayName="Table3" ref="F21:S33" totalsRowShown="0" headerRowDxfId="25" dataDxfId="26">
  <autoFilter ref="F21:S33" xr:uid="{FC55E10C-4C67-4DD9-BE31-2606AB3252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A24D728-9704-4650-B657-59192E6B2447}" name="Emp ID" dataDxfId="24"/>
    <tableColumn id="2" xr3:uid="{04AA16EF-80A7-4F95-824F-748E57EDAA4D}" name="Age" dataDxfId="23"/>
    <tableColumn id="3" xr3:uid="{5051BA3A-C191-4ECD-999F-D568561B3BB1}" name="Experience (Years)" dataDxfId="22"/>
    <tableColumn id="4" xr3:uid="{81C3E1D7-B471-4892-B43D-6EEDA229B635}" name="Salary (₹)" dataDxfId="21"/>
    <tableColumn id="5" xr3:uid="{73E95B3F-7D97-4E18-B549-5F964723192B}" name="Monthly Sales (₹)" dataDxfId="20"/>
    <tableColumn id="6" xr3:uid="{FEA3BA4C-C49D-4798-9772-621F9BC7C52B}" name="Customer Rating" dataDxfId="19"/>
    <tableColumn id="15" xr3:uid="{F134C4E2-416D-4FD6-8698-3B4C7F976A53}" name="Column7" dataDxfId="18"/>
    <tableColumn id="7" xr3:uid="{9F329690-D4AE-4D55-860B-C05FDDA443EA}" name="Anova: Single Factor" dataDxfId="17"/>
    <tableColumn id="8" xr3:uid="{5302B8C2-7DF5-46A7-9594-A4C851159103}" name="Column1" dataDxfId="16"/>
    <tableColumn id="9" xr3:uid="{C284693D-ED6A-455C-AE21-E43B2D7F65E3}" name="Column2" dataDxfId="15"/>
    <tableColumn id="10" xr3:uid="{28FABC96-8423-4CEA-8F2E-01ECB882CC17}" name="Column3" dataDxfId="14"/>
    <tableColumn id="11" xr3:uid="{04D83A49-576C-4790-B0F5-39773EB76690}" name="Column4" dataDxfId="13"/>
    <tableColumn id="12" xr3:uid="{9722130A-8832-4834-BF05-945F92CE6F26}" name="Column5" dataDxfId="12"/>
    <tableColumn id="13" xr3:uid="{CEDEAEE3-19B7-4E76-B9CB-B6DD536CA12A}" name="Column6" dataDxfId="1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D8A7-C241-47F2-9684-F378FAB78C88}">
  <dimension ref="A1:C3"/>
  <sheetViews>
    <sheetView workbookViewId="0">
      <selection activeCell="L20" activeCellId="1" sqref="A1:C3 L20"/>
    </sheetView>
  </sheetViews>
  <sheetFormatPr defaultRowHeight="15" x14ac:dyDescent="0.25"/>
  <sheetData>
    <row r="1" spans="1:3" x14ac:dyDescent="0.25">
      <c r="B1" t="s">
        <v>62</v>
      </c>
      <c r="C1" t="s">
        <v>63</v>
      </c>
    </row>
    <row r="2" spans="1:3" x14ac:dyDescent="0.25">
      <c r="A2" t="s">
        <v>62</v>
      </c>
      <c r="B2">
        <v>1</v>
      </c>
    </row>
    <row r="3" spans="1:3" x14ac:dyDescent="0.25">
      <c r="A3" t="s">
        <v>63</v>
      </c>
      <c r="B3">
        <v>1</v>
      </c>
      <c r="C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988D-0CC8-475C-B680-1D6047CEEFD3}">
  <dimension ref="A2:BH75"/>
  <sheetViews>
    <sheetView tabSelected="1" topLeftCell="W21" zoomScale="70" zoomScaleNormal="70" workbookViewId="0">
      <selection activeCell="AH50" sqref="AH50"/>
    </sheetView>
  </sheetViews>
  <sheetFormatPr defaultRowHeight="15" x14ac:dyDescent="0.25"/>
  <cols>
    <col min="2" max="2" width="15.5703125" customWidth="1"/>
    <col min="3" max="3" width="19.140625" customWidth="1"/>
    <col min="4" max="4" width="23.42578125" bestFit="1" customWidth="1"/>
    <col min="5" max="5" width="18.140625" customWidth="1"/>
    <col min="6" max="6" width="21.7109375" bestFit="1" customWidth="1"/>
    <col min="7" max="7" width="22.5703125" customWidth="1"/>
    <col min="8" max="8" width="11" bestFit="1" customWidth="1"/>
    <col min="9" max="9" width="9.5703125" customWidth="1"/>
    <col min="10" max="10" width="18" customWidth="1"/>
    <col min="11" max="11" width="8.5703125" customWidth="1"/>
    <col min="13" max="13" width="14.140625" customWidth="1"/>
    <col min="14" max="14" width="19" customWidth="1"/>
    <col min="15" max="15" width="12.28515625" customWidth="1"/>
    <col min="16" max="16" width="18" customWidth="1"/>
    <col min="17" max="17" width="17.42578125" customWidth="1"/>
    <col min="18" max="18" width="19" customWidth="1"/>
    <col min="19" max="19" width="15" customWidth="1"/>
    <col min="20" max="20" width="16.5703125" customWidth="1"/>
    <col min="21" max="21" width="14.28515625" bestFit="1" customWidth="1"/>
    <col min="22" max="22" width="18" customWidth="1"/>
    <col min="23" max="23" width="9.42578125" customWidth="1"/>
    <col min="24" max="24" width="13.7109375" bestFit="1" customWidth="1"/>
    <col min="27" max="27" width="9.42578125" bestFit="1" customWidth="1"/>
    <col min="28" max="28" width="11" bestFit="1" customWidth="1"/>
    <col min="29" max="29" width="16.85546875" bestFit="1" customWidth="1"/>
    <col min="30" max="30" width="9.42578125" bestFit="1" customWidth="1"/>
    <col min="31" max="32" width="16.85546875" bestFit="1" customWidth="1"/>
    <col min="33" max="35" width="9.85546875" bestFit="1" customWidth="1"/>
  </cols>
  <sheetData>
    <row r="2" spans="1:18" x14ac:dyDescent="0.25">
      <c r="D2" s="54"/>
      <c r="E2" s="54"/>
      <c r="F2" s="54"/>
      <c r="G2" s="54"/>
    </row>
    <row r="3" spans="1:18" ht="23.25" x14ac:dyDescent="0.35">
      <c r="D3" s="54"/>
      <c r="E3" s="148"/>
      <c r="F3" s="54"/>
      <c r="G3" s="54"/>
      <c r="M3" s="54"/>
      <c r="N3" s="149"/>
      <c r="O3" s="54"/>
      <c r="P3" s="54"/>
      <c r="Q3" s="54"/>
    </row>
    <row r="4" spans="1:18" ht="15.75" thickBot="1" x14ac:dyDescent="0.3"/>
    <row r="5" spans="1:18" ht="16.5" thickBot="1" x14ac:dyDescent="0.3">
      <c r="D5" s="150" t="s">
        <v>35</v>
      </c>
      <c r="N5" s="47" t="s">
        <v>55</v>
      </c>
      <c r="O5" s="48"/>
      <c r="Q5" s="54"/>
    </row>
    <row r="6" spans="1:18" ht="15.75" thickBot="1" x14ac:dyDescent="0.3"/>
    <row r="7" spans="1:18" ht="32.25" thickBot="1" x14ac:dyDescent="0.3">
      <c r="A7" s="16" t="s">
        <v>0</v>
      </c>
      <c r="B7" s="17" t="s">
        <v>1</v>
      </c>
      <c r="C7" s="17" t="s">
        <v>2</v>
      </c>
      <c r="D7" s="17" t="s">
        <v>36</v>
      </c>
      <c r="E7" s="17" t="s">
        <v>37</v>
      </c>
      <c r="F7" s="17" t="s">
        <v>38</v>
      </c>
      <c r="G7" s="18" t="s">
        <v>39</v>
      </c>
      <c r="H7" s="18" t="s">
        <v>40</v>
      </c>
      <c r="I7" s="18" t="s">
        <v>5</v>
      </c>
      <c r="J7" s="19" t="s">
        <v>6</v>
      </c>
      <c r="L7" s="38" t="s">
        <v>0</v>
      </c>
      <c r="M7" s="1" t="s">
        <v>1</v>
      </c>
      <c r="N7" s="7" t="s">
        <v>2</v>
      </c>
      <c r="O7" s="15" t="s">
        <v>3</v>
      </c>
      <c r="P7" s="8" t="s">
        <v>4</v>
      </c>
      <c r="Q7" s="8" t="s">
        <v>5</v>
      </c>
      <c r="R7" s="9" t="s">
        <v>6</v>
      </c>
    </row>
    <row r="8" spans="1:18" ht="15.75" x14ac:dyDescent="0.25">
      <c r="A8" s="39">
        <v>101</v>
      </c>
      <c r="B8" s="20" t="s">
        <v>41</v>
      </c>
      <c r="C8" s="21" t="s">
        <v>9</v>
      </c>
      <c r="D8" s="22">
        <v>9876543210</v>
      </c>
      <c r="E8" s="23">
        <v>522001</v>
      </c>
      <c r="F8" s="41">
        <v>44941</v>
      </c>
      <c r="G8" s="24">
        <v>85000</v>
      </c>
      <c r="H8" s="25">
        <v>10000</v>
      </c>
      <c r="I8" s="26">
        <v>85</v>
      </c>
      <c r="J8" s="27" t="s">
        <v>10</v>
      </c>
      <c r="L8" s="36" t="s">
        <v>7</v>
      </c>
      <c r="M8" s="37" t="s">
        <v>8</v>
      </c>
      <c r="N8" s="2" t="s">
        <v>9</v>
      </c>
      <c r="O8" s="3">
        <v>85000</v>
      </c>
      <c r="P8" s="3">
        <v>100000</v>
      </c>
      <c r="Q8" s="4">
        <v>0.85</v>
      </c>
      <c r="R8" s="6" t="s">
        <v>10</v>
      </c>
    </row>
    <row r="9" spans="1:18" ht="15.75" x14ac:dyDescent="0.25">
      <c r="A9" s="39">
        <v>102</v>
      </c>
      <c r="B9" s="20" t="s">
        <v>42</v>
      </c>
      <c r="C9" s="21" t="s">
        <v>9</v>
      </c>
      <c r="D9" s="22">
        <v>9123456789</v>
      </c>
      <c r="E9" s="23">
        <v>522002</v>
      </c>
      <c r="F9" s="41">
        <v>44977</v>
      </c>
      <c r="G9" s="24">
        <v>120000</v>
      </c>
      <c r="H9" s="25">
        <v>15000</v>
      </c>
      <c r="I9" s="26">
        <v>120</v>
      </c>
      <c r="J9" s="27" t="s">
        <v>13</v>
      </c>
      <c r="L9" s="5" t="s">
        <v>11</v>
      </c>
      <c r="M9" s="2" t="s">
        <v>12</v>
      </c>
      <c r="N9" s="2" t="s">
        <v>9</v>
      </c>
      <c r="O9" s="3">
        <v>120000</v>
      </c>
      <c r="P9" s="3">
        <v>100000</v>
      </c>
      <c r="Q9" s="4">
        <v>1.2</v>
      </c>
      <c r="R9" s="6" t="s">
        <v>13</v>
      </c>
    </row>
    <row r="10" spans="1:18" ht="15.75" x14ac:dyDescent="0.25">
      <c r="A10" s="39">
        <v>103</v>
      </c>
      <c r="B10" s="20" t="s">
        <v>43</v>
      </c>
      <c r="C10" s="21" t="s">
        <v>16</v>
      </c>
      <c r="D10" s="22">
        <v>9988776655</v>
      </c>
      <c r="E10" s="23">
        <v>522003</v>
      </c>
      <c r="F10" s="41">
        <v>44990</v>
      </c>
      <c r="G10" s="24">
        <v>65000</v>
      </c>
      <c r="H10" s="25">
        <v>-5000</v>
      </c>
      <c r="I10" s="26">
        <v>81</v>
      </c>
      <c r="J10" s="27" t="s">
        <v>17</v>
      </c>
      <c r="L10" s="5" t="s">
        <v>14</v>
      </c>
      <c r="M10" s="2" t="s">
        <v>15</v>
      </c>
      <c r="N10" s="2" t="s">
        <v>16</v>
      </c>
      <c r="O10" s="3">
        <v>65000</v>
      </c>
      <c r="P10" s="3">
        <v>80000</v>
      </c>
      <c r="Q10" s="4">
        <v>0.81</v>
      </c>
      <c r="R10" s="6" t="s">
        <v>17</v>
      </c>
    </row>
    <row r="11" spans="1:18" ht="15.75" x14ac:dyDescent="0.25">
      <c r="A11" s="39">
        <v>104</v>
      </c>
      <c r="B11" s="20" t="s">
        <v>44</v>
      </c>
      <c r="C11" s="21" t="s">
        <v>9</v>
      </c>
      <c r="D11" s="22">
        <v>9871234567</v>
      </c>
      <c r="E11" s="23">
        <v>522004</v>
      </c>
      <c r="F11" s="41">
        <v>45034</v>
      </c>
      <c r="G11" s="24">
        <v>140000</v>
      </c>
      <c r="H11" s="25">
        <v>20000</v>
      </c>
      <c r="I11" s="26">
        <v>117</v>
      </c>
      <c r="J11" s="27" t="s">
        <v>13</v>
      </c>
      <c r="L11" s="5" t="s">
        <v>18</v>
      </c>
      <c r="M11" s="2" t="s">
        <v>19</v>
      </c>
      <c r="N11" s="2" t="s">
        <v>9</v>
      </c>
      <c r="O11" s="3">
        <v>140000</v>
      </c>
      <c r="P11" s="3">
        <v>120000</v>
      </c>
      <c r="Q11" s="4">
        <v>1.17</v>
      </c>
      <c r="R11" s="6" t="s">
        <v>13</v>
      </c>
    </row>
    <row r="12" spans="1:18" ht="15.75" x14ac:dyDescent="0.25">
      <c r="A12" s="39">
        <v>105</v>
      </c>
      <c r="B12" s="20" t="s">
        <v>45</v>
      </c>
      <c r="C12" s="21" t="s">
        <v>22</v>
      </c>
      <c r="D12" s="22">
        <v>9012345678</v>
      </c>
      <c r="E12" s="23">
        <v>522005</v>
      </c>
      <c r="F12" s="41">
        <v>45071</v>
      </c>
      <c r="G12" s="24">
        <v>45000</v>
      </c>
      <c r="H12" s="25">
        <v>-2000</v>
      </c>
      <c r="I12" s="26">
        <v>75</v>
      </c>
      <c r="J12" s="27" t="s">
        <v>23</v>
      </c>
      <c r="L12" s="5" t="s">
        <v>20</v>
      </c>
      <c r="M12" s="2" t="s">
        <v>21</v>
      </c>
      <c r="N12" s="2" t="s">
        <v>22</v>
      </c>
      <c r="O12" s="3">
        <v>45000</v>
      </c>
      <c r="P12" s="3">
        <v>60000</v>
      </c>
      <c r="Q12" s="4">
        <v>0.75</v>
      </c>
      <c r="R12" s="6" t="s">
        <v>23</v>
      </c>
    </row>
    <row r="13" spans="1:18" ht="15.75" x14ac:dyDescent="0.25">
      <c r="A13" s="39">
        <v>106</v>
      </c>
      <c r="B13" s="20" t="s">
        <v>46</v>
      </c>
      <c r="C13" s="21" t="s">
        <v>26</v>
      </c>
      <c r="D13" s="22">
        <v>9981122334</v>
      </c>
      <c r="E13" s="23">
        <v>522006</v>
      </c>
      <c r="F13" s="41">
        <v>45087</v>
      </c>
      <c r="G13" s="24">
        <v>95000</v>
      </c>
      <c r="H13" s="25">
        <v>8000</v>
      </c>
      <c r="I13" s="26">
        <v>106</v>
      </c>
      <c r="J13" s="27" t="s">
        <v>10</v>
      </c>
      <c r="L13" s="5" t="s">
        <v>24</v>
      </c>
      <c r="M13" s="2" t="s">
        <v>25</v>
      </c>
      <c r="N13" s="2" t="s">
        <v>26</v>
      </c>
      <c r="O13" s="3">
        <v>95000</v>
      </c>
      <c r="P13" s="3">
        <v>90000</v>
      </c>
      <c r="Q13" s="4">
        <v>1.06</v>
      </c>
      <c r="R13" s="6" t="s">
        <v>10</v>
      </c>
    </row>
    <row r="14" spans="1:18" ht="15.75" x14ac:dyDescent="0.25">
      <c r="A14" s="39">
        <v>107</v>
      </c>
      <c r="B14" s="20" t="s">
        <v>47</v>
      </c>
      <c r="C14" s="21" t="s">
        <v>16</v>
      </c>
      <c r="D14" s="22">
        <v>9090909090</v>
      </c>
      <c r="E14" s="23">
        <v>522007</v>
      </c>
      <c r="F14" s="41">
        <v>45119</v>
      </c>
      <c r="G14" s="24">
        <v>70000</v>
      </c>
      <c r="H14" s="25">
        <v>-3000</v>
      </c>
      <c r="I14" s="26">
        <v>82</v>
      </c>
      <c r="J14" s="27" t="s">
        <v>17</v>
      </c>
      <c r="L14" s="5" t="s">
        <v>27</v>
      </c>
      <c r="M14" s="2" t="s">
        <v>28</v>
      </c>
      <c r="N14" s="2" t="s">
        <v>16</v>
      </c>
      <c r="O14" s="3">
        <v>70000</v>
      </c>
      <c r="P14" s="3">
        <v>85000</v>
      </c>
      <c r="Q14" s="4">
        <v>0.82</v>
      </c>
      <c r="R14" s="6" t="s">
        <v>17</v>
      </c>
    </row>
    <row r="15" spans="1:18" ht="15.75" x14ac:dyDescent="0.25">
      <c r="A15" s="39">
        <v>108</v>
      </c>
      <c r="B15" s="20" t="s">
        <v>48</v>
      </c>
      <c r="C15" s="21" t="s">
        <v>9</v>
      </c>
      <c r="D15" s="22">
        <v>9345678901</v>
      </c>
      <c r="E15" s="23">
        <v>522008</v>
      </c>
      <c r="F15" s="41">
        <v>45139</v>
      </c>
      <c r="G15" s="24">
        <v>160000</v>
      </c>
      <c r="H15" s="25">
        <v>25000</v>
      </c>
      <c r="I15" s="26">
        <v>107</v>
      </c>
      <c r="J15" s="27" t="s">
        <v>13</v>
      </c>
      <c r="L15" s="5" t="s">
        <v>29</v>
      </c>
      <c r="M15" s="2" t="s">
        <v>30</v>
      </c>
      <c r="N15" s="2" t="s">
        <v>9</v>
      </c>
      <c r="O15" s="3">
        <v>160000</v>
      </c>
      <c r="P15" s="3">
        <v>150000</v>
      </c>
      <c r="Q15" s="4">
        <v>1.07</v>
      </c>
      <c r="R15" s="6" t="s">
        <v>13</v>
      </c>
    </row>
    <row r="16" spans="1:18" ht="15.75" x14ac:dyDescent="0.25">
      <c r="A16" s="39">
        <v>109</v>
      </c>
      <c r="B16" s="20" t="s">
        <v>49</v>
      </c>
      <c r="C16" s="21" t="s">
        <v>26</v>
      </c>
      <c r="D16" s="22">
        <v>9445566778</v>
      </c>
      <c r="E16" s="23">
        <v>522009</v>
      </c>
      <c r="F16" s="41">
        <v>45184</v>
      </c>
      <c r="G16" s="24">
        <v>50000</v>
      </c>
      <c r="H16" s="25">
        <v>-4000</v>
      </c>
      <c r="I16" s="26">
        <v>71</v>
      </c>
      <c r="J16" s="27" t="s">
        <v>23</v>
      </c>
      <c r="L16" s="5" t="s">
        <v>31</v>
      </c>
      <c r="M16" s="2" t="s">
        <v>32</v>
      </c>
      <c r="N16" s="2" t="s">
        <v>26</v>
      </c>
      <c r="O16" s="3">
        <v>50000</v>
      </c>
      <c r="P16" s="3">
        <v>70000</v>
      </c>
      <c r="Q16" s="4">
        <v>0.71</v>
      </c>
      <c r="R16" s="6" t="s">
        <v>23</v>
      </c>
    </row>
    <row r="17" spans="1:60" ht="15.75" x14ac:dyDescent="0.25">
      <c r="A17" s="40">
        <v>110</v>
      </c>
      <c r="B17" s="28" t="s">
        <v>50</v>
      </c>
      <c r="C17" s="29" t="s">
        <v>22</v>
      </c>
      <c r="D17" s="30">
        <v>9556677889</v>
      </c>
      <c r="E17" s="31">
        <v>522010</v>
      </c>
      <c r="F17" s="42">
        <v>45219</v>
      </c>
      <c r="G17" s="32">
        <v>80000</v>
      </c>
      <c r="H17" s="33">
        <v>7000</v>
      </c>
      <c r="I17" s="34">
        <v>107</v>
      </c>
      <c r="J17" s="35" t="s">
        <v>10</v>
      </c>
      <c r="L17" s="10" t="s">
        <v>33</v>
      </c>
      <c r="M17" s="11" t="s">
        <v>34</v>
      </c>
      <c r="N17" s="11" t="s">
        <v>22</v>
      </c>
      <c r="O17" s="12">
        <v>80000</v>
      </c>
      <c r="P17" s="12">
        <v>75000</v>
      </c>
      <c r="Q17" s="13">
        <v>1.07</v>
      </c>
      <c r="R17" s="14" t="s">
        <v>10</v>
      </c>
    </row>
    <row r="19" spans="1:60" ht="16.5" thickBot="1" x14ac:dyDescent="0.3"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</row>
    <row r="20" spans="1:60" ht="16.5" thickBot="1" x14ac:dyDescent="0.3">
      <c r="A20" t="s">
        <v>51</v>
      </c>
      <c r="B20" s="44">
        <v>46023</v>
      </c>
      <c r="D20" s="59"/>
      <c r="E20" s="123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5"/>
      <c r="AE20" s="63"/>
      <c r="AF20" s="63"/>
      <c r="AG20" s="63"/>
      <c r="AH20" s="63"/>
      <c r="AI20" s="63"/>
      <c r="AJ20" s="63"/>
      <c r="AK20" s="54"/>
      <c r="AL20" s="54"/>
      <c r="AM20" s="54"/>
      <c r="AN20" s="54"/>
      <c r="AO20" s="54"/>
      <c r="AP20" s="54"/>
      <c r="AQ20" s="54"/>
      <c r="AR20" s="54"/>
      <c r="AS20" s="54"/>
      <c r="AT20" s="54"/>
    </row>
    <row r="21" spans="1:60" ht="56.25" x14ac:dyDescent="0.25">
      <c r="A21" t="s">
        <v>52</v>
      </c>
      <c r="B21" s="44">
        <v>46054</v>
      </c>
      <c r="D21" s="61"/>
      <c r="E21" s="45"/>
      <c r="F21" s="98" t="s">
        <v>56</v>
      </c>
      <c r="G21" s="99" t="s">
        <v>57</v>
      </c>
      <c r="H21" s="99" t="s">
        <v>58</v>
      </c>
      <c r="I21" s="99" t="s">
        <v>59</v>
      </c>
      <c r="J21" s="99" t="s">
        <v>60</v>
      </c>
      <c r="K21" s="100" t="s">
        <v>61</v>
      </c>
      <c r="L21" s="54" t="s">
        <v>93</v>
      </c>
      <c r="M21" s="98" t="s">
        <v>64</v>
      </c>
      <c r="N21" s="99" t="s">
        <v>70</v>
      </c>
      <c r="O21" s="99" t="s">
        <v>71</v>
      </c>
      <c r="P21" s="99" t="s">
        <v>72</v>
      </c>
      <c r="Q21" s="99" t="s">
        <v>73</v>
      </c>
      <c r="R21" s="99" t="s">
        <v>83</v>
      </c>
      <c r="S21" s="100" t="s">
        <v>84</v>
      </c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76"/>
      <c r="AF21" s="145" t="s">
        <v>135</v>
      </c>
      <c r="AG21" s="145" t="s">
        <v>57</v>
      </c>
      <c r="AH21" s="145" t="s">
        <v>136</v>
      </c>
      <c r="AI21" s="145" t="s">
        <v>137</v>
      </c>
      <c r="AJ21" s="145" t="s">
        <v>138</v>
      </c>
      <c r="AK21" s="145" t="s">
        <v>139</v>
      </c>
      <c r="AL21" s="54"/>
      <c r="AM21" s="54"/>
      <c r="AN21" s="49" t="s">
        <v>150</v>
      </c>
      <c r="AO21" s="49" t="s">
        <v>151</v>
      </c>
      <c r="AP21" s="49" t="s">
        <v>152</v>
      </c>
      <c r="AQ21" s="54"/>
      <c r="AR21" s="54"/>
      <c r="AS21" s="54"/>
      <c r="AT21" s="54"/>
    </row>
    <row r="22" spans="1:60" ht="18.75" x14ac:dyDescent="0.25">
      <c r="A22" s="43">
        <v>44105</v>
      </c>
      <c r="B22" s="44">
        <v>46083</v>
      </c>
      <c r="D22" s="61"/>
      <c r="E22" s="45"/>
      <c r="F22" s="101" t="s">
        <v>7</v>
      </c>
      <c r="G22" s="97">
        <v>22</v>
      </c>
      <c r="H22" s="97">
        <v>1</v>
      </c>
      <c r="I22" s="97">
        <v>25000</v>
      </c>
      <c r="J22" s="97">
        <v>45000</v>
      </c>
      <c r="K22" s="102">
        <v>3.8</v>
      </c>
      <c r="L22" s="64"/>
      <c r="M22" s="101"/>
      <c r="N22" s="97"/>
      <c r="O22" s="97"/>
      <c r="P22" s="97"/>
      <c r="Q22" s="97"/>
      <c r="R22" s="97"/>
      <c r="S22" s="102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76"/>
      <c r="AF22" s="146" t="s">
        <v>140</v>
      </c>
      <c r="AG22" s="146">
        <v>18</v>
      </c>
      <c r="AH22" s="146">
        <v>10</v>
      </c>
      <c r="AI22" s="146">
        <v>75</v>
      </c>
      <c r="AJ22" s="146">
        <v>65</v>
      </c>
      <c r="AK22" s="146">
        <v>68</v>
      </c>
      <c r="AL22" s="54"/>
      <c r="AM22" s="54"/>
      <c r="AN22" s="50">
        <v>68</v>
      </c>
      <c r="AO22" s="50">
        <v>75</v>
      </c>
      <c r="AP22" s="50">
        <v>80</v>
      </c>
      <c r="AQ22" s="54"/>
      <c r="AR22" s="54"/>
      <c r="AS22" s="54"/>
      <c r="AT22" s="54"/>
    </row>
    <row r="23" spans="1:60" ht="19.5" thickBot="1" x14ac:dyDescent="0.3">
      <c r="A23" t="s">
        <v>53</v>
      </c>
      <c r="B23" s="44">
        <v>46115</v>
      </c>
      <c r="D23" s="61"/>
      <c r="E23" s="45"/>
      <c r="F23" s="101" t="s">
        <v>11</v>
      </c>
      <c r="G23" s="97">
        <v>24</v>
      </c>
      <c r="H23" s="97">
        <v>2</v>
      </c>
      <c r="I23" s="97">
        <v>28000</v>
      </c>
      <c r="J23" s="97">
        <v>50000</v>
      </c>
      <c r="K23" s="102">
        <v>4</v>
      </c>
      <c r="L23" s="64"/>
      <c r="M23" s="101" t="s">
        <v>65</v>
      </c>
      <c r="N23" s="97"/>
      <c r="O23" s="97"/>
      <c r="P23" s="97"/>
      <c r="Q23" s="97"/>
      <c r="R23" s="97"/>
      <c r="S23" s="102"/>
      <c r="T23" s="65"/>
      <c r="U23" s="66"/>
      <c r="V23" s="66"/>
      <c r="W23" s="66"/>
      <c r="X23" s="65"/>
      <c r="Y23" s="65"/>
      <c r="Z23" s="65"/>
      <c r="AA23" s="65"/>
      <c r="AB23" s="65"/>
      <c r="AC23" s="65"/>
      <c r="AD23" s="76"/>
      <c r="AF23" s="146" t="s">
        <v>141</v>
      </c>
      <c r="AG23" s="146">
        <v>19</v>
      </c>
      <c r="AH23" s="146">
        <v>12</v>
      </c>
      <c r="AI23" s="146">
        <v>80</v>
      </c>
      <c r="AJ23" s="146">
        <v>70</v>
      </c>
      <c r="AK23" s="146">
        <v>72</v>
      </c>
      <c r="AL23" s="54"/>
      <c r="AM23" s="54"/>
      <c r="AN23" s="50">
        <v>72</v>
      </c>
      <c r="AO23" s="50">
        <v>78</v>
      </c>
      <c r="AP23" s="50">
        <v>84</v>
      </c>
      <c r="AQ23" s="54"/>
      <c r="AR23" s="54"/>
      <c r="AS23" s="54"/>
      <c r="AT23" s="54"/>
    </row>
    <row r="24" spans="1:60" ht="18.75" x14ac:dyDescent="0.25">
      <c r="B24" s="44">
        <v>46146</v>
      </c>
      <c r="D24" s="61"/>
      <c r="E24" s="45"/>
      <c r="F24" s="101" t="s">
        <v>14</v>
      </c>
      <c r="G24" s="97">
        <v>26</v>
      </c>
      <c r="H24" s="97">
        <v>3</v>
      </c>
      <c r="I24" s="97">
        <v>32000</v>
      </c>
      <c r="J24" s="97">
        <v>55000</v>
      </c>
      <c r="K24" s="102">
        <v>4.2</v>
      </c>
      <c r="L24" s="64"/>
      <c r="M24" s="101" t="s">
        <v>66</v>
      </c>
      <c r="N24" s="97" t="s">
        <v>67</v>
      </c>
      <c r="O24" s="97" t="s">
        <v>68</v>
      </c>
      <c r="P24" s="97" t="s">
        <v>17</v>
      </c>
      <c r="Q24" s="97" t="s">
        <v>69</v>
      </c>
      <c r="R24" s="97"/>
      <c r="S24" s="102"/>
      <c r="T24" s="65"/>
      <c r="U24" s="67"/>
      <c r="V24" s="106"/>
      <c r="W24" s="107" t="s">
        <v>57</v>
      </c>
      <c r="X24" s="107" t="s">
        <v>58</v>
      </c>
      <c r="Y24" s="108" t="s">
        <v>59</v>
      </c>
      <c r="Z24" s="65"/>
      <c r="AA24" s="65"/>
      <c r="AB24" s="65"/>
      <c r="AC24" s="65"/>
      <c r="AD24" s="76"/>
      <c r="AF24" s="146" t="s">
        <v>142</v>
      </c>
      <c r="AG24" s="146">
        <v>18</v>
      </c>
      <c r="AH24" s="146">
        <v>15</v>
      </c>
      <c r="AI24" s="146">
        <v>82</v>
      </c>
      <c r="AJ24" s="146">
        <v>74</v>
      </c>
      <c r="AK24" s="146">
        <v>76</v>
      </c>
      <c r="AL24" s="54"/>
      <c r="AM24" s="54"/>
      <c r="AN24" s="50">
        <v>76</v>
      </c>
      <c r="AO24" s="50">
        <v>82</v>
      </c>
      <c r="AP24" s="50">
        <v>88</v>
      </c>
      <c r="AQ24" s="54"/>
      <c r="AR24" s="54"/>
      <c r="AS24" s="54"/>
      <c r="AT24" s="54"/>
    </row>
    <row r="25" spans="1:60" ht="18.75" x14ac:dyDescent="0.25">
      <c r="B25" s="44">
        <v>46178</v>
      </c>
      <c r="D25" s="61"/>
      <c r="E25" s="45"/>
      <c r="F25" s="101" t="s">
        <v>18</v>
      </c>
      <c r="G25" s="97">
        <v>28</v>
      </c>
      <c r="H25" s="97">
        <v>4</v>
      </c>
      <c r="I25" s="97">
        <v>35000</v>
      </c>
      <c r="J25" s="97">
        <v>60000</v>
      </c>
      <c r="K25" s="102">
        <v>4.0999999999999996</v>
      </c>
      <c r="L25" s="64"/>
      <c r="M25" s="101" t="s">
        <v>62</v>
      </c>
      <c r="N25" s="97">
        <v>10</v>
      </c>
      <c r="O25" s="97">
        <v>435000</v>
      </c>
      <c r="P25" s="97">
        <v>43500</v>
      </c>
      <c r="Q25" s="97">
        <v>190055555.55555555</v>
      </c>
      <c r="R25" s="97"/>
      <c r="S25" s="102"/>
      <c r="T25" s="65"/>
      <c r="U25" s="67"/>
      <c r="V25" s="87" t="s">
        <v>57</v>
      </c>
      <c r="W25" s="69">
        <v>1</v>
      </c>
      <c r="X25" s="69"/>
      <c r="Y25" s="88"/>
      <c r="Z25" s="65"/>
      <c r="AA25" s="65"/>
      <c r="AB25" s="65"/>
      <c r="AC25" s="65"/>
      <c r="AD25" s="76"/>
      <c r="AF25" s="146" t="s">
        <v>143</v>
      </c>
      <c r="AG25" s="146">
        <v>20</v>
      </c>
      <c r="AH25" s="146">
        <v>18</v>
      </c>
      <c r="AI25" s="146">
        <v>85</v>
      </c>
      <c r="AJ25" s="146">
        <v>78</v>
      </c>
      <c r="AK25" s="146">
        <v>80</v>
      </c>
      <c r="AL25" s="54"/>
      <c r="AM25" s="54"/>
      <c r="AN25" s="50">
        <v>80</v>
      </c>
      <c r="AO25" s="50">
        <v>85</v>
      </c>
      <c r="AP25" s="50">
        <v>90</v>
      </c>
      <c r="AQ25" s="54"/>
      <c r="AR25" s="54"/>
      <c r="AS25" s="54"/>
      <c r="AT25" s="54"/>
    </row>
    <row r="26" spans="1:60" ht="18.75" x14ac:dyDescent="0.25">
      <c r="B26" s="44">
        <v>46209</v>
      </c>
      <c r="D26" s="61"/>
      <c r="E26" s="45"/>
      <c r="F26" s="101" t="s">
        <v>20</v>
      </c>
      <c r="G26" s="97">
        <v>30</v>
      </c>
      <c r="H26" s="97">
        <v>5</v>
      </c>
      <c r="I26" s="97">
        <v>40000</v>
      </c>
      <c r="J26" s="97">
        <v>70000</v>
      </c>
      <c r="K26" s="102">
        <v>4.5</v>
      </c>
      <c r="L26" s="64"/>
      <c r="M26" s="101" t="s">
        <v>63</v>
      </c>
      <c r="N26" s="97">
        <v>10</v>
      </c>
      <c r="O26" s="97">
        <v>705000</v>
      </c>
      <c r="P26" s="97">
        <v>70500</v>
      </c>
      <c r="Q26" s="97">
        <v>302500000</v>
      </c>
      <c r="R26" s="97"/>
      <c r="S26" s="102"/>
      <c r="T26" s="65"/>
      <c r="U26" s="65"/>
      <c r="V26" s="87" t="s">
        <v>58</v>
      </c>
      <c r="W26" s="69">
        <v>1</v>
      </c>
      <c r="X26" s="69">
        <v>1</v>
      </c>
      <c r="Y26" s="88"/>
      <c r="Z26" s="65"/>
      <c r="AA26" s="65"/>
      <c r="AB26" s="65"/>
      <c r="AC26" s="65"/>
      <c r="AD26" s="76"/>
      <c r="AF26" s="146" t="s">
        <v>144</v>
      </c>
      <c r="AG26" s="146">
        <v>19</v>
      </c>
      <c r="AH26" s="146">
        <v>20</v>
      </c>
      <c r="AI26" s="146">
        <v>88</v>
      </c>
      <c r="AJ26" s="146">
        <v>82</v>
      </c>
      <c r="AK26" s="146">
        <v>84</v>
      </c>
      <c r="AL26" s="54"/>
      <c r="AM26" s="54"/>
      <c r="AN26" s="50">
        <v>84</v>
      </c>
      <c r="AO26" s="50">
        <v>88</v>
      </c>
      <c r="AP26" s="50">
        <v>92</v>
      </c>
      <c r="AQ26" s="54"/>
      <c r="AR26" s="54"/>
      <c r="AS26" s="54"/>
      <c r="AT26" s="54"/>
    </row>
    <row r="27" spans="1:60" ht="19.5" thickBot="1" x14ac:dyDescent="0.3">
      <c r="B27" s="44">
        <v>46241</v>
      </c>
      <c r="D27" s="61"/>
      <c r="E27" s="45"/>
      <c r="F27" s="101" t="s">
        <v>24</v>
      </c>
      <c r="G27" s="97">
        <v>32</v>
      </c>
      <c r="H27" s="97">
        <v>6</v>
      </c>
      <c r="I27" s="97">
        <v>45000</v>
      </c>
      <c r="J27" s="97">
        <v>75000</v>
      </c>
      <c r="K27" s="102">
        <v>4.5999999999999996</v>
      </c>
      <c r="L27" s="64"/>
      <c r="M27" s="101" t="s">
        <v>74</v>
      </c>
      <c r="N27" s="97">
        <v>10</v>
      </c>
      <c r="O27" s="97">
        <v>44.4</v>
      </c>
      <c r="P27" s="97">
        <v>4.4399999999999995</v>
      </c>
      <c r="Q27" s="97">
        <v>0.14933333333333335</v>
      </c>
      <c r="R27" s="97"/>
      <c r="S27" s="102"/>
      <c r="T27" s="65"/>
      <c r="U27" s="65"/>
      <c r="V27" s="89" t="s">
        <v>59</v>
      </c>
      <c r="W27" s="90">
        <v>0.99692688579014788</v>
      </c>
      <c r="X27" s="90">
        <v>0.99692688579014788</v>
      </c>
      <c r="Y27" s="91">
        <v>1</v>
      </c>
      <c r="Z27" s="65"/>
      <c r="AA27" s="65"/>
      <c r="AB27" s="65"/>
      <c r="AC27" s="65"/>
      <c r="AD27" s="76"/>
      <c r="AF27" s="146" t="s">
        <v>145</v>
      </c>
      <c r="AG27" s="146">
        <v>21</v>
      </c>
      <c r="AH27" s="146">
        <v>22</v>
      </c>
      <c r="AI27" s="146">
        <v>90</v>
      </c>
      <c r="AJ27" s="146">
        <v>85</v>
      </c>
      <c r="AK27" s="146">
        <v>87</v>
      </c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60" ht="18.75" x14ac:dyDescent="0.25">
      <c r="B28" s="44">
        <v>46273</v>
      </c>
      <c r="D28" s="61"/>
      <c r="E28" s="45"/>
      <c r="F28" s="101" t="s">
        <v>27</v>
      </c>
      <c r="G28" s="97">
        <v>34</v>
      </c>
      <c r="H28" s="97">
        <v>7</v>
      </c>
      <c r="I28" s="97">
        <v>50000</v>
      </c>
      <c r="J28" s="97">
        <v>80000</v>
      </c>
      <c r="K28" s="102">
        <v>4.7</v>
      </c>
      <c r="L28" s="64"/>
      <c r="M28" s="101"/>
      <c r="N28" s="97"/>
      <c r="O28" s="97"/>
      <c r="P28" s="97"/>
      <c r="Q28" s="97"/>
      <c r="R28" s="97"/>
      <c r="S28" s="102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76"/>
      <c r="AF28" s="146" t="s">
        <v>146</v>
      </c>
      <c r="AG28" s="146">
        <v>20</v>
      </c>
      <c r="AH28" s="146">
        <v>25</v>
      </c>
      <c r="AI28" s="146">
        <v>92</v>
      </c>
      <c r="AJ28" s="146">
        <v>88</v>
      </c>
      <c r="AK28" s="146">
        <v>90</v>
      </c>
      <c r="AL28" s="54"/>
      <c r="AM28" s="54"/>
      <c r="AN28" s="54"/>
      <c r="AO28" s="54"/>
      <c r="AP28" s="54"/>
      <c r="AQ28" s="54"/>
      <c r="AR28" s="54"/>
      <c r="AS28" s="54"/>
      <c r="AT28" s="54"/>
    </row>
    <row r="29" spans="1:60" ht="19.5" thickBot="1" x14ac:dyDescent="0.3">
      <c r="B29" s="44">
        <v>46304</v>
      </c>
      <c r="D29" s="61"/>
      <c r="E29" s="45"/>
      <c r="F29" s="101" t="s">
        <v>29</v>
      </c>
      <c r="G29" s="97">
        <v>36</v>
      </c>
      <c r="H29" s="97">
        <v>8</v>
      </c>
      <c r="I29" s="97">
        <v>55000</v>
      </c>
      <c r="J29" s="97">
        <v>85000</v>
      </c>
      <c r="K29" s="102">
        <v>4.8</v>
      </c>
      <c r="L29" s="64"/>
      <c r="M29" s="101"/>
      <c r="N29" s="97"/>
      <c r="O29" s="97"/>
      <c r="P29" s="97"/>
      <c r="Q29" s="97"/>
      <c r="R29" s="97"/>
      <c r="S29" s="102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76"/>
      <c r="AF29" s="146" t="s">
        <v>147</v>
      </c>
      <c r="AG29" s="146">
        <v>22</v>
      </c>
      <c r="AH29" s="146">
        <v>27</v>
      </c>
      <c r="AI29" s="146">
        <v>94</v>
      </c>
      <c r="AJ29" s="146">
        <v>90</v>
      </c>
      <c r="AK29" s="146">
        <v>92</v>
      </c>
      <c r="AL29" s="54"/>
      <c r="AM29" s="54"/>
      <c r="AN29" s="54"/>
      <c r="AO29" s="54"/>
      <c r="AP29" s="54"/>
      <c r="AQ29" s="54"/>
      <c r="AR29" s="54"/>
      <c r="AS29" s="54"/>
      <c r="AT29" s="54"/>
    </row>
    <row r="30" spans="1:60" ht="18.75" x14ac:dyDescent="0.25">
      <c r="B30" s="44">
        <v>46336</v>
      </c>
      <c r="D30" s="61"/>
      <c r="E30" s="45"/>
      <c r="F30" s="101" t="s">
        <v>31</v>
      </c>
      <c r="G30" s="97">
        <v>38</v>
      </c>
      <c r="H30" s="97">
        <v>9</v>
      </c>
      <c r="I30" s="97">
        <v>60000</v>
      </c>
      <c r="J30" s="97">
        <v>90000</v>
      </c>
      <c r="K30" s="102">
        <v>4.9000000000000004</v>
      </c>
      <c r="L30" s="64"/>
      <c r="M30" s="101" t="s">
        <v>75</v>
      </c>
      <c r="N30" s="97"/>
      <c r="O30" s="97"/>
      <c r="P30" s="97"/>
      <c r="Q30" s="97"/>
      <c r="R30" s="97"/>
      <c r="S30" s="102"/>
      <c r="T30" s="65"/>
      <c r="U30" s="65"/>
      <c r="V30" s="77"/>
      <c r="W30" s="70" t="s">
        <v>62</v>
      </c>
      <c r="X30" s="78" t="s">
        <v>63</v>
      </c>
      <c r="Y30" s="65"/>
      <c r="Z30" s="65"/>
      <c r="AA30" s="65"/>
      <c r="AB30" s="65"/>
      <c r="AC30" s="65"/>
      <c r="AD30" s="76"/>
      <c r="AF30" s="146" t="s">
        <v>148</v>
      </c>
      <c r="AG30" s="146">
        <v>21</v>
      </c>
      <c r="AH30" s="146">
        <v>30</v>
      </c>
      <c r="AI30" s="146">
        <v>96</v>
      </c>
      <c r="AJ30" s="146">
        <v>93</v>
      </c>
      <c r="AK30" s="146">
        <v>95</v>
      </c>
      <c r="AL30" s="54"/>
      <c r="AM30" s="54"/>
      <c r="AN30" s="54"/>
      <c r="AO30" s="54"/>
      <c r="AP30" s="54"/>
      <c r="AQ30" s="54"/>
      <c r="AR30" s="54"/>
      <c r="AS30" s="54"/>
      <c r="AT30" s="54"/>
    </row>
    <row r="31" spans="1:60" ht="31.5" x14ac:dyDescent="0.25">
      <c r="B31" s="44">
        <v>46367</v>
      </c>
      <c r="D31" s="61"/>
      <c r="E31" s="45"/>
      <c r="F31" s="101" t="s">
        <v>33</v>
      </c>
      <c r="G31" s="97">
        <v>40</v>
      </c>
      <c r="H31" s="97">
        <v>10</v>
      </c>
      <c r="I31" s="97">
        <v>65000</v>
      </c>
      <c r="J31" s="97">
        <v>95000</v>
      </c>
      <c r="K31" s="102">
        <v>4.8</v>
      </c>
      <c r="L31" s="64"/>
      <c r="M31" s="120" t="s">
        <v>76</v>
      </c>
      <c r="N31" s="96" t="s">
        <v>77</v>
      </c>
      <c r="O31" s="96" t="s">
        <v>78</v>
      </c>
      <c r="P31" s="96" t="s">
        <v>79</v>
      </c>
      <c r="Q31" s="96" t="s">
        <v>80</v>
      </c>
      <c r="R31" s="96" t="s">
        <v>81</v>
      </c>
      <c r="S31" s="103" t="s">
        <v>82</v>
      </c>
      <c r="T31" s="65"/>
      <c r="U31" s="65"/>
      <c r="V31" s="79" t="s">
        <v>62</v>
      </c>
      <c r="W31" s="67">
        <f>VARP(Sheet1!$G$22:$G$31)</f>
        <v>33</v>
      </c>
      <c r="X31" s="80"/>
      <c r="Y31" s="65"/>
      <c r="Z31" s="65"/>
      <c r="AA31" s="65"/>
      <c r="AB31" s="65"/>
      <c r="AC31" s="65"/>
      <c r="AD31" s="76"/>
      <c r="AF31" s="146" t="s">
        <v>149</v>
      </c>
      <c r="AG31" s="146">
        <v>23</v>
      </c>
      <c r="AH31" s="146">
        <v>32</v>
      </c>
      <c r="AI31" s="146">
        <v>98</v>
      </c>
      <c r="AJ31" s="146">
        <v>95</v>
      </c>
      <c r="AK31" s="146">
        <v>97</v>
      </c>
      <c r="AL31" s="54"/>
      <c r="AM31" s="54"/>
      <c r="AN31" s="54"/>
      <c r="AO31" s="54"/>
      <c r="AP31" s="54"/>
      <c r="AQ31" s="54"/>
      <c r="AR31" s="54"/>
      <c r="AS31" s="54"/>
      <c r="AT31" s="54"/>
    </row>
    <row r="32" spans="1:60" ht="32.25" thickBot="1" x14ac:dyDescent="0.3">
      <c r="B32" s="43">
        <v>41609</v>
      </c>
      <c r="D32" s="61"/>
      <c r="E32" s="45"/>
      <c r="F32" s="101"/>
      <c r="G32" s="97"/>
      <c r="H32" s="97"/>
      <c r="I32" s="97"/>
      <c r="J32" s="97"/>
      <c r="K32" s="102"/>
      <c r="L32" s="64"/>
      <c r="M32" s="101" t="s">
        <v>85</v>
      </c>
      <c r="N32" s="97">
        <v>25301625731.423996</v>
      </c>
      <c r="O32" s="97">
        <v>2</v>
      </c>
      <c r="P32" s="97">
        <v>12650812865.711998</v>
      </c>
      <c r="Q32" s="97">
        <v>77.052097286412348</v>
      </c>
      <c r="R32" s="97">
        <v>6.9402632250080577E-12</v>
      </c>
      <c r="S32" s="102">
        <v>3.3541308285291991</v>
      </c>
      <c r="T32" s="65"/>
      <c r="U32" s="65"/>
      <c r="V32" s="81" t="s">
        <v>63</v>
      </c>
      <c r="W32" s="71">
        <v>16.5</v>
      </c>
      <c r="X32" s="82">
        <f>VARP(Sheet1!$H$22:$H$31)</f>
        <v>8.25</v>
      </c>
      <c r="Y32" s="65"/>
      <c r="Z32" s="65"/>
      <c r="AA32" s="65"/>
      <c r="AB32" s="65"/>
      <c r="AC32" s="65"/>
      <c r="AD32" s="76"/>
      <c r="AF32" s="54"/>
      <c r="AG32" s="54"/>
      <c r="AH32" s="54"/>
      <c r="AI32" s="54"/>
      <c r="AJ32" s="54"/>
      <c r="AK32" s="65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</row>
    <row r="33" spans="2:60" ht="31.5" x14ac:dyDescent="0.25">
      <c r="B33" t="s">
        <v>54</v>
      </c>
      <c r="D33" s="61"/>
      <c r="E33" s="45"/>
      <c r="F33" s="101"/>
      <c r="G33" s="97"/>
      <c r="H33" s="97"/>
      <c r="I33" s="97"/>
      <c r="J33" s="97"/>
      <c r="K33" s="102"/>
      <c r="L33" s="64"/>
      <c r="M33" s="101" t="s">
        <v>86</v>
      </c>
      <c r="N33" s="97">
        <v>4433000001.3439999</v>
      </c>
      <c r="O33" s="97">
        <v>27</v>
      </c>
      <c r="P33" s="97">
        <v>164185185.23496297</v>
      </c>
      <c r="Q33" s="97"/>
      <c r="R33" s="97"/>
      <c r="S33" s="102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76"/>
      <c r="AF33" s="54"/>
      <c r="AG33" s="54" t="s">
        <v>64</v>
      </c>
      <c r="AH33" s="54"/>
      <c r="AI33" s="54"/>
      <c r="AJ33" s="54"/>
      <c r="AK33" s="54"/>
      <c r="AL33" s="54"/>
      <c r="AM33" s="54"/>
      <c r="AN33" s="54"/>
      <c r="AO33" s="54" t="s">
        <v>94</v>
      </c>
      <c r="AP33" s="54"/>
      <c r="AQ33" s="54"/>
      <c r="AR33" s="54"/>
      <c r="AS33" s="54"/>
      <c r="AT33" s="54"/>
      <c r="AU33" s="54"/>
      <c r="AV33" s="54" t="s">
        <v>88</v>
      </c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</row>
    <row r="34" spans="2:60" ht="15.75" x14ac:dyDescent="0.25">
      <c r="D34" s="61"/>
      <c r="E34" s="45"/>
      <c r="F34" s="84"/>
      <c r="G34" s="83"/>
      <c r="H34" s="83"/>
      <c r="I34" s="83"/>
      <c r="J34" s="83"/>
      <c r="K34" s="85"/>
      <c r="L34" s="67"/>
      <c r="M34" s="87"/>
      <c r="N34" s="69"/>
      <c r="O34" s="69"/>
      <c r="P34" s="69"/>
      <c r="Q34" s="69"/>
      <c r="R34" s="88"/>
      <c r="S34" s="76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76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 t="s">
        <v>88</v>
      </c>
      <c r="BC34" s="54"/>
      <c r="BD34" s="54"/>
      <c r="BE34" s="54"/>
      <c r="BF34" s="54"/>
      <c r="BG34" s="54"/>
      <c r="BH34" s="54"/>
    </row>
    <row r="35" spans="2:60" ht="16.5" thickBot="1" x14ac:dyDescent="0.3">
      <c r="D35" s="61"/>
      <c r="E35" s="45"/>
      <c r="F35" s="104"/>
      <c r="G35" s="105"/>
      <c r="H35" s="105"/>
      <c r="I35" s="105"/>
      <c r="J35" s="105"/>
      <c r="K35" s="112"/>
      <c r="L35" s="67" t="s">
        <v>87</v>
      </c>
      <c r="M35" s="89">
        <v>29734625732.767994</v>
      </c>
      <c r="N35" s="90">
        <v>29</v>
      </c>
      <c r="O35" s="90"/>
      <c r="P35" s="90"/>
      <c r="Q35" s="90"/>
      <c r="R35" s="91"/>
      <c r="S35" s="121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76"/>
      <c r="AF35" s="54"/>
      <c r="AG35" s="54" t="s">
        <v>65</v>
      </c>
      <c r="AH35" s="54"/>
      <c r="AI35" s="54"/>
      <c r="AJ35" s="54"/>
      <c r="AK35" s="54"/>
      <c r="AL35" s="54"/>
      <c r="AM35" s="54"/>
      <c r="AN35" s="54"/>
      <c r="AO35" s="55" t="s">
        <v>65</v>
      </c>
      <c r="AP35" s="55" t="s">
        <v>67</v>
      </c>
      <c r="AQ35" s="55" t="s">
        <v>68</v>
      </c>
      <c r="AR35" s="55" t="s">
        <v>17</v>
      </c>
      <c r="AS35" s="55" t="s">
        <v>69</v>
      </c>
      <c r="AT35" s="54"/>
      <c r="AU35" s="54"/>
      <c r="AV35" s="54" t="s">
        <v>65</v>
      </c>
      <c r="AW35" s="54" t="s">
        <v>138</v>
      </c>
      <c r="AX35" s="54" t="s">
        <v>139</v>
      </c>
      <c r="AY35" s="54" t="s">
        <v>87</v>
      </c>
      <c r="AZ35" s="54"/>
      <c r="BA35" s="54"/>
      <c r="BB35" s="54"/>
      <c r="BC35" s="54"/>
      <c r="BD35" s="54"/>
      <c r="BE35" s="54"/>
      <c r="BF35" s="54"/>
      <c r="BG35" s="54"/>
      <c r="BH35" s="54"/>
    </row>
    <row r="36" spans="2:60" ht="16.5" thickBot="1" x14ac:dyDescent="0.3">
      <c r="D36" s="61"/>
      <c r="E36" s="4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76"/>
      <c r="AF36" s="54"/>
      <c r="AG36" s="55" t="s">
        <v>66</v>
      </c>
      <c r="AH36" s="55" t="s">
        <v>67</v>
      </c>
      <c r="AI36" s="55" t="s">
        <v>68</v>
      </c>
      <c r="AJ36" s="55" t="s">
        <v>17</v>
      </c>
      <c r="AK36" s="55" t="s">
        <v>69</v>
      </c>
      <c r="AL36" s="54"/>
      <c r="AM36" s="54"/>
      <c r="AN36" s="54"/>
      <c r="AO36" s="51">
        <v>70</v>
      </c>
      <c r="AP36" s="51">
        <v>1</v>
      </c>
      <c r="AQ36" s="51">
        <v>72</v>
      </c>
      <c r="AR36" s="51">
        <v>72</v>
      </c>
      <c r="AS36" s="51" t="e">
        <v>#DIV/0!</v>
      </c>
      <c r="AT36" s="54"/>
      <c r="AU36" s="54"/>
      <c r="AV36" s="147">
        <v>75</v>
      </c>
      <c r="AW36" s="147"/>
      <c r="AX36" s="147"/>
      <c r="AY36" s="147"/>
      <c r="AZ36" s="54"/>
      <c r="BA36" s="54"/>
      <c r="BB36" s="54" t="s">
        <v>65</v>
      </c>
      <c r="BC36" s="54" t="s">
        <v>151</v>
      </c>
      <c r="BD36" s="54" t="s">
        <v>152</v>
      </c>
      <c r="BE36" s="54" t="s">
        <v>87</v>
      </c>
      <c r="BF36" s="54"/>
      <c r="BG36" s="54"/>
      <c r="BH36" s="54"/>
    </row>
    <row r="37" spans="2:60" ht="15.75" x14ac:dyDescent="0.25">
      <c r="D37" s="61"/>
      <c r="E37" s="45"/>
      <c r="F37" s="73"/>
      <c r="G37" s="74"/>
      <c r="H37" s="74"/>
      <c r="I37" s="74"/>
      <c r="J37" s="7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76"/>
      <c r="AF37" s="54"/>
      <c r="AG37" s="51" t="s">
        <v>150</v>
      </c>
      <c r="AH37" s="51">
        <v>5</v>
      </c>
      <c r="AI37" s="51">
        <v>380</v>
      </c>
      <c r="AJ37" s="51">
        <v>76</v>
      </c>
      <c r="AK37" s="51">
        <v>40</v>
      </c>
      <c r="AL37" s="54"/>
      <c r="AM37" s="54"/>
      <c r="AN37" s="54"/>
      <c r="AO37" s="51">
        <v>74</v>
      </c>
      <c r="AP37" s="51">
        <v>1</v>
      </c>
      <c r="AQ37" s="51">
        <v>76</v>
      </c>
      <c r="AR37" s="51">
        <v>76</v>
      </c>
      <c r="AS37" s="51" t="e">
        <v>#DIV/0!</v>
      </c>
      <c r="AT37" s="54"/>
      <c r="AU37" s="54"/>
      <c r="AV37" s="51" t="s">
        <v>67</v>
      </c>
      <c r="AW37" s="51">
        <v>10</v>
      </c>
      <c r="AX37" s="51">
        <v>10</v>
      </c>
      <c r="AY37" s="51">
        <v>20</v>
      </c>
      <c r="AZ37" s="54"/>
      <c r="BA37" s="54"/>
      <c r="BB37" s="147">
        <v>68</v>
      </c>
      <c r="BC37" s="147"/>
      <c r="BD37" s="147"/>
      <c r="BE37" s="147"/>
      <c r="BF37" s="54"/>
      <c r="BG37" s="54"/>
      <c r="BH37" s="54"/>
    </row>
    <row r="38" spans="2:60" ht="15.75" x14ac:dyDescent="0.25">
      <c r="D38" s="61"/>
      <c r="E38" s="45"/>
      <c r="F38" s="84" t="s">
        <v>94</v>
      </c>
      <c r="G38" s="83"/>
      <c r="H38" s="83"/>
      <c r="I38" s="83"/>
      <c r="J38" s="8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76"/>
      <c r="AF38" s="54"/>
      <c r="AG38" s="51" t="s">
        <v>151</v>
      </c>
      <c r="AH38" s="51">
        <v>5</v>
      </c>
      <c r="AI38" s="51">
        <v>408</v>
      </c>
      <c r="AJ38" s="51">
        <v>81.599999999999994</v>
      </c>
      <c r="AK38" s="51">
        <v>27.299999999999997</v>
      </c>
      <c r="AL38" s="54"/>
      <c r="AM38" s="54"/>
      <c r="AN38" s="54"/>
      <c r="AO38" s="51">
        <v>78</v>
      </c>
      <c r="AP38" s="51">
        <v>1</v>
      </c>
      <c r="AQ38" s="51">
        <v>80</v>
      </c>
      <c r="AR38" s="51">
        <v>80</v>
      </c>
      <c r="AS38" s="51" t="e">
        <v>#DIV/0!</v>
      </c>
      <c r="AT38" s="54"/>
      <c r="AU38" s="54"/>
      <c r="AV38" s="51" t="s">
        <v>68</v>
      </c>
      <c r="AW38" s="51">
        <v>820</v>
      </c>
      <c r="AX38" s="51">
        <v>841</v>
      </c>
      <c r="AY38" s="51">
        <v>1661</v>
      </c>
      <c r="AZ38" s="54"/>
      <c r="BA38" s="54"/>
      <c r="BB38" s="51" t="s">
        <v>67</v>
      </c>
      <c r="BC38" s="51">
        <v>5</v>
      </c>
      <c r="BD38" s="51">
        <v>5</v>
      </c>
      <c r="BE38" s="51">
        <v>10</v>
      </c>
      <c r="BF38" s="54"/>
      <c r="BG38" s="54"/>
      <c r="BH38" s="54"/>
    </row>
    <row r="39" spans="2:60" ht="16.5" thickBot="1" x14ac:dyDescent="0.3">
      <c r="D39" s="61"/>
      <c r="E39" s="45"/>
      <c r="F39" s="93"/>
      <c r="G39" s="83"/>
      <c r="H39" s="83"/>
      <c r="I39" s="83"/>
      <c r="J39" s="8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76"/>
      <c r="AF39" s="54"/>
      <c r="AG39" s="51" t="s">
        <v>152</v>
      </c>
      <c r="AH39" s="51">
        <v>5</v>
      </c>
      <c r="AI39" s="51">
        <v>434</v>
      </c>
      <c r="AJ39" s="51">
        <v>86.8</v>
      </c>
      <c r="AK39" s="51">
        <v>23.2</v>
      </c>
      <c r="AL39" s="54"/>
      <c r="AM39" s="54"/>
      <c r="AN39" s="54"/>
      <c r="AO39" s="51">
        <v>82</v>
      </c>
      <c r="AP39" s="51">
        <v>1</v>
      </c>
      <c r="AQ39" s="51">
        <v>84</v>
      </c>
      <c r="AR39" s="51">
        <v>84</v>
      </c>
      <c r="AS39" s="51" t="e">
        <v>#DIV/0!</v>
      </c>
      <c r="AT39" s="54"/>
      <c r="AU39" s="54"/>
      <c r="AV39" s="51" t="s">
        <v>17</v>
      </c>
      <c r="AW39" s="51">
        <v>82</v>
      </c>
      <c r="AX39" s="51">
        <v>84.1</v>
      </c>
      <c r="AY39" s="51">
        <v>83.05</v>
      </c>
      <c r="AZ39" s="54"/>
      <c r="BA39" s="54"/>
      <c r="BB39" s="51" t="s">
        <v>68</v>
      </c>
      <c r="BC39" s="51">
        <v>408</v>
      </c>
      <c r="BD39" s="51">
        <v>434</v>
      </c>
      <c r="BE39" s="51">
        <v>842</v>
      </c>
      <c r="BF39" s="54"/>
      <c r="BG39" s="54"/>
      <c r="BH39" s="54"/>
    </row>
    <row r="40" spans="2:60" ht="16.5" thickBot="1" x14ac:dyDescent="0.3">
      <c r="D40" s="61"/>
      <c r="E40" s="45"/>
      <c r="F40" s="95" t="s">
        <v>65</v>
      </c>
      <c r="G40" s="92" t="s">
        <v>67</v>
      </c>
      <c r="H40" s="68" t="s">
        <v>68</v>
      </c>
      <c r="I40" s="68" t="s">
        <v>17</v>
      </c>
      <c r="J40" s="86" t="s">
        <v>69</v>
      </c>
      <c r="K40" s="65"/>
      <c r="L40" s="65"/>
      <c r="M40" s="113" t="s">
        <v>60</v>
      </c>
      <c r="N40" s="114" t="s">
        <v>61</v>
      </c>
      <c r="O40" s="115" t="s">
        <v>87</v>
      </c>
      <c r="P40" s="54"/>
      <c r="Q40" s="65"/>
      <c r="R40" s="65"/>
      <c r="S40" s="65"/>
      <c r="T40" s="65"/>
      <c r="U40" s="65"/>
      <c r="V40" s="65"/>
      <c r="W40" s="65"/>
      <c r="X40" s="59" t="s">
        <v>127</v>
      </c>
      <c r="Y40" s="60"/>
      <c r="Z40" s="60"/>
      <c r="AA40" s="75"/>
      <c r="AB40" s="65"/>
      <c r="AC40" s="65"/>
      <c r="AD40" s="76"/>
      <c r="AF40" s="54"/>
      <c r="AG40" s="54"/>
      <c r="AH40" s="54"/>
      <c r="AI40" s="54"/>
      <c r="AJ40" s="54"/>
      <c r="AK40" s="54"/>
      <c r="AL40" s="54"/>
      <c r="AM40" s="54"/>
      <c r="AN40" s="54"/>
      <c r="AO40" s="51">
        <v>85</v>
      </c>
      <c r="AP40" s="51">
        <v>1</v>
      </c>
      <c r="AQ40" s="51">
        <v>87</v>
      </c>
      <c r="AR40" s="51">
        <v>87</v>
      </c>
      <c r="AS40" s="51" t="e">
        <v>#DIV/0!</v>
      </c>
      <c r="AT40" s="54"/>
      <c r="AU40" s="54"/>
      <c r="AV40" s="51" t="s">
        <v>69</v>
      </c>
      <c r="AW40" s="51">
        <v>101.33333333333333</v>
      </c>
      <c r="AX40" s="51">
        <v>97.655555555554912</v>
      </c>
      <c r="AY40" s="51">
        <v>95.418421052632198</v>
      </c>
      <c r="AZ40" s="54"/>
      <c r="BA40" s="54"/>
      <c r="BB40" s="51" t="s">
        <v>17</v>
      </c>
      <c r="BC40" s="51">
        <v>81.599999999999994</v>
      </c>
      <c r="BD40" s="51">
        <v>86.8</v>
      </c>
      <c r="BE40" s="51">
        <v>84.2</v>
      </c>
      <c r="BF40" s="54"/>
      <c r="BG40" s="54"/>
      <c r="BH40" s="54"/>
    </row>
    <row r="41" spans="2:60" ht="16.5" thickBot="1" x14ac:dyDescent="0.3">
      <c r="D41" s="61"/>
      <c r="E41" s="45"/>
      <c r="F41" s="94" t="s">
        <v>95</v>
      </c>
      <c r="G41" s="69">
        <v>3</v>
      </c>
      <c r="H41" s="69">
        <v>70003.8</v>
      </c>
      <c r="I41" s="69">
        <v>23334.600000000002</v>
      </c>
      <c r="J41" s="88">
        <v>508244671.4799999</v>
      </c>
      <c r="K41" s="65"/>
      <c r="L41" s="65"/>
      <c r="M41" s="110"/>
      <c r="N41" s="109"/>
      <c r="O41" s="111"/>
      <c r="P41" s="65"/>
      <c r="Q41" s="65"/>
      <c r="R41" s="65"/>
      <c r="S41" s="65"/>
      <c r="T41" s="65"/>
      <c r="U41" s="68" t="s">
        <v>107</v>
      </c>
      <c r="V41" s="68" t="s">
        <v>109</v>
      </c>
      <c r="W41" s="65"/>
      <c r="X41" s="61"/>
      <c r="Y41" s="54"/>
      <c r="Z41" s="54"/>
      <c r="AA41" s="76"/>
      <c r="AB41" s="65"/>
      <c r="AC41" s="65"/>
      <c r="AD41" s="76"/>
      <c r="AF41" s="54"/>
      <c r="AG41" s="54"/>
      <c r="AH41" s="54"/>
      <c r="AI41" s="54"/>
      <c r="AJ41" s="54"/>
      <c r="AK41" s="54"/>
      <c r="AL41" s="54"/>
      <c r="AM41" s="54"/>
      <c r="AN41" s="54"/>
      <c r="AO41" s="51">
        <v>88</v>
      </c>
      <c r="AP41" s="51">
        <v>1</v>
      </c>
      <c r="AQ41" s="51">
        <v>90</v>
      </c>
      <c r="AR41" s="51">
        <v>90</v>
      </c>
      <c r="AS41" s="51" t="e">
        <v>#DIV/0!</v>
      </c>
      <c r="AT41" s="54"/>
      <c r="AU41" s="54"/>
      <c r="AV41" s="51"/>
      <c r="AW41" s="51"/>
      <c r="AX41" s="51"/>
      <c r="AY41" s="51"/>
      <c r="AZ41" s="54"/>
      <c r="BA41" s="54"/>
      <c r="BB41" s="51" t="s">
        <v>69</v>
      </c>
      <c r="BC41" s="51">
        <v>27.299999999999997</v>
      </c>
      <c r="BD41" s="51">
        <v>23.2</v>
      </c>
      <c r="BE41" s="51">
        <v>29.955555555555552</v>
      </c>
      <c r="BF41" s="54"/>
      <c r="BG41" s="54"/>
      <c r="BH41" s="54"/>
    </row>
    <row r="42" spans="2:60" ht="15.75" x14ac:dyDescent="0.25">
      <c r="D42" s="61"/>
      <c r="E42" s="45"/>
      <c r="F42" s="87" t="s">
        <v>96</v>
      </c>
      <c r="G42" s="69">
        <v>3</v>
      </c>
      <c r="H42" s="69">
        <v>78004</v>
      </c>
      <c r="I42" s="69">
        <v>26001.333333333332</v>
      </c>
      <c r="J42" s="88">
        <v>627896005.33333337</v>
      </c>
      <c r="K42" s="65"/>
      <c r="L42" s="65"/>
      <c r="M42" s="87">
        <v>10</v>
      </c>
      <c r="N42" s="69">
        <v>10</v>
      </c>
      <c r="O42" s="88">
        <v>20</v>
      </c>
      <c r="P42" s="65"/>
      <c r="Q42" s="65"/>
      <c r="R42" s="65"/>
      <c r="S42" s="65"/>
      <c r="T42" s="65"/>
      <c r="U42" s="119">
        <v>25000</v>
      </c>
      <c r="V42" s="69">
        <v>10</v>
      </c>
      <c r="W42" s="65"/>
      <c r="X42" s="122"/>
      <c r="Y42" s="53">
        <v>25000</v>
      </c>
      <c r="Z42" s="53">
        <v>45000</v>
      </c>
      <c r="AA42" s="76"/>
      <c r="AB42" s="65"/>
      <c r="AC42" s="65"/>
      <c r="AD42" s="76"/>
      <c r="AF42" s="54"/>
      <c r="AG42" s="54" t="s">
        <v>75</v>
      </c>
      <c r="AH42" s="54"/>
      <c r="AI42" s="54"/>
      <c r="AJ42" s="54"/>
      <c r="AK42" s="54"/>
      <c r="AL42" s="54"/>
      <c r="AM42" s="54"/>
      <c r="AN42" s="54"/>
      <c r="AO42" s="51">
        <v>90</v>
      </c>
      <c r="AP42" s="51">
        <v>1</v>
      </c>
      <c r="AQ42" s="51">
        <v>92</v>
      </c>
      <c r="AR42" s="51">
        <v>92</v>
      </c>
      <c r="AS42" s="51" t="e">
        <v>#DIV/0!</v>
      </c>
      <c r="AT42" s="54"/>
      <c r="AU42" s="54"/>
      <c r="AV42" s="147" t="s">
        <v>87</v>
      </c>
      <c r="AW42" s="147"/>
      <c r="AX42" s="147"/>
      <c r="AY42" s="54"/>
      <c r="AZ42" s="54"/>
      <c r="BA42" s="54"/>
      <c r="BB42" s="51"/>
      <c r="BC42" s="51"/>
      <c r="BD42" s="51"/>
      <c r="BE42" s="51"/>
      <c r="BF42" s="54"/>
      <c r="BG42" s="54"/>
      <c r="BH42" s="54"/>
    </row>
    <row r="43" spans="2:60" ht="15.75" x14ac:dyDescent="0.25">
      <c r="D43" s="61"/>
      <c r="E43" s="45"/>
      <c r="F43" s="87" t="s">
        <v>97</v>
      </c>
      <c r="G43" s="69">
        <v>3</v>
      </c>
      <c r="H43" s="69">
        <v>87004.2</v>
      </c>
      <c r="I43" s="69">
        <v>29001.399999999998</v>
      </c>
      <c r="J43" s="88">
        <v>762878205.88000011</v>
      </c>
      <c r="K43" s="65"/>
      <c r="L43" s="65"/>
      <c r="M43" s="87">
        <v>705000</v>
      </c>
      <c r="N43" s="69">
        <v>44.4</v>
      </c>
      <c r="O43" s="88">
        <v>705044.4</v>
      </c>
      <c r="P43" s="65"/>
      <c r="Q43" s="65"/>
      <c r="R43" s="65"/>
      <c r="S43" s="65"/>
      <c r="T43" s="65"/>
      <c r="U43" s="119">
        <v>28000</v>
      </c>
      <c r="V43" s="69">
        <v>0</v>
      </c>
      <c r="W43" s="65"/>
      <c r="X43" s="57" t="s">
        <v>128</v>
      </c>
      <c r="Y43" s="51">
        <v>45555.555555555555</v>
      </c>
      <c r="Z43" s="51">
        <v>73333.333333333328</v>
      </c>
      <c r="AA43" s="76"/>
      <c r="AB43" s="65"/>
      <c r="AC43" s="65"/>
      <c r="AD43" s="76"/>
      <c r="AF43" s="54"/>
      <c r="AG43" s="54" t="s">
        <v>76</v>
      </c>
      <c r="AH43" s="54" t="s">
        <v>77</v>
      </c>
      <c r="AI43" s="54" t="s">
        <v>78</v>
      </c>
      <c r="AJ43" s="54" t="s">
        <v>79</v>
      </c>
      <c r="AK43" s="54" t="s">
        <v>80</v>
      </c>
      <c r="AL43" s="54" t="s">
        <v>81</v>
      </c>
      <c r="AM43" s="54" t="s">
        <v>82</v>
      </c>
      <c r="AN43" s="54"/>
      <c r="AO43" s="51">
        <v>93</v>
      </c>
      <c r="AP43" s="51">
        <v>1</v>
      </c>
      <c r="AQ43" s="51">
        <v>95</v>
      </c>
      <c r="AR43" s="51">
        <v>95</v>
      </c>
      <c r="AS43" s="51" t="e">
        <v>#DIV/0!</v>
      </c>
      <c r="AT43" s="54"/>
      <c r="AU43" s="54"/>
      <c r="AV43" s="51" t="s">
        <v>67</v>
      </c>
      <c r="AW43" s="51">
        <v>10</v>
      </c>
      <c r="AX43" s="51">
        <v>10</v>
      </c>
      <c r="AY43" s="54"/>
      <c r="AZ43" s="54"/>
      <c r="BA43" s="54"/>
      <c r="BB43" s="147" t="s">
        <v>87</v>
      </c>
      <c r="BC43" s="147"/>
      <c r="BD43" s="147"/>
      <c r="BE43" s="54"/>
      <c r="BF43" s="54"/>
      <c r="BG43" s="54"/>
      <c r="BH43" s="54"/>
    </row>
    <row r="44" spans="2:60" ht="15.75" x14ac:dyDescent="0.25">
      <c r="D44" s="61"/>
      <c r="E44" s="45"/>
      <c r="F44" s="87" t="s">
        <v>98</v>
      </c>
      <c r="G44" s="69">
        <v>3</v>
      </c>
      <c r="H44" s="69">
        <v>95004.1</v>
      </c>
      <c r="I44" s="69">
        <v>31668.033333333336</v>
      </c>
      <c r="J44" s="88">
        <v>908203505.60333323</v>
      </c>
      <c r="K44" s="65"/>
      <c r="L44" s="65"/>
      <c r="M44" s="87">
        <v>70500</v>
      </c>
      <c r="N44" s="69">
        <v>4.4399999999999995</v>
      </c>
      <c r="O44" s="88">
        <v>35252.22</v>
      </c>
      <c r="P44" s="65"/>
      <c r="Q44" s="65"/>
      <c r="R44" s="65"/>
      <c r="S44" s="65"/>
      <c r="T44" s="65"/>
      <c r="U44" s="119">
        <v>32000</v>
      </c>
      <c r="V44" s="69">
        <v>0</v>
      </c>
      <c r="W44" s="65"/>
      <c r="X44" s="57" t="s">
        <v>69</v>
      </c>
      <c r="Y44" s="51">
        <v>166277777.77777767</v>
      </c>
      <c r="Z44" s="51">
        <v>250000000</v>
      </c>
      <c r="AA44" s="76"/>
      <c r="AB44" s="65"/>
      <c r="AC44" s="65"/>
      <c r="AD44" s="76"/>
      <c r="AF44" s="54"/>
      <c r="AG44" s="54" t="s">
        <v>85</v>
      </c>
      <c r="AH44" s="54">
        <v>291.73333333333323</v>
      </c>
      <c r="AI44" s="54">
        <v>2</v>
      </c>
      <c r="AJ44" s="54">
        <v>145.86666666666662</v>
      </c>
      <c r="AK44" s="54">
        <v>4.8353591160220972</v>
      </c>
      <c r="AL44" s="54">
        <v>2.8830199263057694E-2</v>
      </c>
      <c r="AM44" s="54">
        <v>3.8852938346523942</v>
      </c>
      <c r="AN44" s="54"/>
      <c r="AO44" s="51">
        <v>95</v>
      </c>
      <c r="AP44" s="51">
        <v>1</v>
      </c>
      <c r="AQ44" s="51">
        <v>97</v>
      </c>
      <c r="AR44" s="51">
        <v>97</v>
      </c>
      <c r="AS44" s="51" t="e">
        <v>#DIV/0!</v>
      </c>
      <c r="AT44" s="54"/>
      <c r="AU44" s="54"/>
      <c r="AV44" s="51" t="s">
        <v>68</v>
      </c>
      <c r="AW44" s="51">
        <v>820</v>
      </c>
      <c r="AX44" s="51">
        <v>841</v>
      </c>
      <c r="AY44" s="54"/>
      <c r="AZ44" s="54"/>
      <c r="BA44" s="54"/>
      <c r="BB44" s="51" t="s">
        <v>67</v>
      </c>
      <c r="BC44" s="51">
        <v>5</v>
      </c>
      <c r="BD44" s="51">
        <v>5</v>
      </c>
      <c r="BE44" s="54"/>
      <c r="BF44" s="54"/>
      <c r="BG44" s="54"/>
      <c r="BH44" s="54"/>
    </row>
    <row r="45" spans="2:60" ht="15.75" x14ac:dyDescent="0.25">
      <c r="D45" s="61"/>
      <c r="E45" s="45"/>
      <c r="F45" s="87" t="s">
        <v>99</v>
      </c>
      <c r="G45" s="69">
        <v>3</v>
      </c>
      <c r="H45" s="69">
        <v>110004.5</v>
      </c>
      <c r="I45" s="69">
        <v>36668.166666666664</v>
      </c>
      <c r="J45" s="88">
        <v>1233168340.0833333</v>
      </c>
      <c r="K45" s="65"/>
      <c r="L45" s="65"/>
      <c r="M45" s="87">
        <v>302500000</v>
      </c>
      <c r="N45" s="69">
        <v>0.14933333333333335</v>
      </c>
      <c r="O45" s="88">
        <v>1451085257.8901055</v>
      </c>
      <c r="P45" s="65"/>
      <c r="Q45" s="65"/>
      <c r="R45" s="65"/>
      <c r="S45" s="65"/>
      <c r="T45" s="65"/>
      <c r="U45" s="119">
        <v>35000</v>
      </c>
      <c r="V45" s="69">
        <v>0</v>
      </c>
      <c r="W45" s="65"/>
      <c r="X45" s="57" t="s">
        <v>116</v>
      </c>
      <c r="Y45" s="51">
        <v>9</v>
      </c>
      <c r="Z45" s="51">
        <v>9</v>
      </c>
      <c r="AA45" s="76"/>
      <c r="AB45" s="65"/>
      <c r="AC45" s="65"/>
      <c r="AD45" s="76"/>
      <c r="AF45" s="54"/>
      <c r="AG45" s="54" t="s">
        <v>86</v>
      </c>
      <c r="AH45" s="54">
        <v>362</v>
      </c>
      <c r="AI45" s="54">
        <v>12</v>
      </c>
      <c r="AJ45" s="54">
        <v>30.166666666666668</v>
      </c>
      <c r="AK45" s="54"/>
      <c r="AL45" s="54"/>
      <c r="AM45" s="54"/>
      <c r="AN45" s="54"/>
      <c r="AO45" s="51"/>
      <c r="AP45" s="51"/>
      <c r="AQ45" s="51"/>
      <c r="AR45" s="51"/>
      <c r="AS45" s="51"/>
      <c r="AT45" s="54"/>
      <c r="AU45" s="54"/>
      <c r="AV45" s="51" t="s">
        <v>17</v>
      </c>
      <c r="AW45" s="51">
        <v>82</v>
      </c>
      <c r="AX45" s="51">
        <v>84.1</v>
      </c>
      <c r="AY45" s="54"/>
      <c r="AZ45" s="54"/>
      <c r="BA45" s="54"/>
      <c r="BB45" s="51" t="s">
        <v>68</v>
      </c>
      <c r="BC45" s="51">
        <v>408</v>
      </c>
      <c r="BD45" s="51">
        <v>434</v>
      </c>
      <c r="BE45" s="54"/>
      <c r="BF45" s="54"/>
      <c r="BG45" s="54"/>
      <c r="BH45" s="54"/>
    </row>
    <row r="46" spans="2:60" ht="15.75" x14ac:dyDescent="0.25">
      <c r="D46" s="61"/>
      <c r="E46" s="45"/>
      <c r="F46" s="87" t="s">
        <v>100</v>
      </c>
      <c r="G46" s="69">
        <v>3</v>
      </c>
      <c r="H46" s="69">
        <v>120004.6</v>
      </c>
      <c r="I46" s="69">
        <v>40001.533333333333</v>
      </c>
      <c r="J46" s="88">
        <v>1424816007.0533328</v>
      </c>
      <c r="K46" s="65"/>
      <c r="L46" s="65"/>
      <c r="M46" s="87"/>
      <c r="N46" s="69"/>
      <c r="O46" s="88"/>
      <c r="P46" s="65"/>
      <c r="Q46" s="65"/>
      <c r="R46" s="65"/>
      <c r="S46" s="65"/>
      <c r="T46" s="65"/>
      <c r="U46" s="119">
        <v>40000</v>
      </c>
      <c r="V46" s="69">
        <v>0</v>
      </c>
      <c r="W46" s="65"/>
      <c r="X46" s="57" t="s">
        <v>129</v>
      </c>
      <c r="Y46" s="51">
        <v>0.99218094556069358</v>
      </c>
      <c r="Z46" s="51"/>
      <c r="AA46" s="76"/>
      <c r="AB46" s="65"/>
      <c r="AC46" s="65"/>
      <c r="AD46" s="76"/>
      <c r="AF46" s="54"/>
      <c r="AG46" s="54"/>
      <c r="AH46" s="54"/>
      <c r="AI46" s="54"/>
      <c r="AJ46" s="54"/>
      <c r="AK46" s="54"/>
      <c r="AL46" s="54"/>
      <c r="AM46" s="54"/>
      <c r="AN46" s="54"/>
      <c r="AO46" s="51">
        <v>68</v>
      </c>
      <c r="AP46" s="51">
        <v>9</v>
      </c>
      <c r="AQ46" s="51">
        <v>773</v>
      </c>
      <c r="AR46" s="51">
        <v>85.888888888888886</v>
      </c>
      <c r="AS46" s="51">
        <v>73.861111111111114</v>
      </c>
      <c r="AT46" s="54"/>
      <c r="AU46" s="54"/>
      <c r="AV46" s="51" t="s">
        <v>69</v>
      </c>
      <c r="AW46" s="51">
        <v>101.33333333333333</v>
      </c>
      <c r="AX46" s="51">
        <v>97.655555555554912</v>
      </c>
      <c r="AY46" s="54"/>
      <c r="AZ46" s="54"/>
      <c r="BA46" s="54"/>
      <c r="BB46" s="51" t="s">
        <v>17</v>
      </c>
      <c r="BC46" s="51">
        <v>81.599999999999994</v>
      </c>
      <c r="BD46" s="51">
        <v>86.8</v>
      </c>
      <c r="BE46" s="54"/>
      <c r="BF46" s="54"/>
      <c r="BG46" s="54"/>
      <c r="BH46" s="54"/>
    </row>
    <row r="47" spans="2:60" ht="15.75" x14ac:dyDescent="0.25">
      <c r="D47" s="61"/>
      <c r="E47" s="45"/>
      <c r="F47" s="87" t="s">
        <v>101</v>
      </c>
      <c r="G47" s="69">
        <v>3</v>
      </c>
      <c r="H47" s="69">
        <v>130004.7</v>
      </c>
      <c r="I47" s="69">
        <v>43334.9</v>
      </c>
      <c r="J47" s="88">
        <v>1633129674.0300002</v>
      </c>
      <c r="K47" s="65"/>
      <c r="L47" s="65"/>
      <c r="M47" s="110"/>
      <c r="N47" s="109"/>
      <c r="O47" s="85"/>
      <c r="P47" s="65"/>
      <c r="Q47" s="65"/>
      <c r="R47" s="65"/>
      <c r="S47" s="65"/>
      <c r="T47" s="65"/>
      <c r="U47" s="119">
        <v>45000</v>
      </c>
      <c r="V47" s="69">
        <v>0</v>
      </c>
      <c r="W47" s="65"/>
      <c r="X47" s="57" t="s">
        <v>130</v>
      </c>
      <c r="Y47" s="51">
        <v>0</v>
      </c>
      <c r="Z47" s="51"/>
      <c r="AA47" s="76"/>
      <c r="AB47" s="65"/>
      <c r="AC47" s="65"/>
      <c r="AD47" s="76"/>
      <c r="AF47" s="54"/>
      <c r="AG47" s="54" t="s">
        <v>87</v>
      </c>
      <c r="AH47" s="54">
        <v>653.73333333333323</v>
      </c>
      <c r="AI47" s="54">
        <v>14</v>
      </c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1"/>
      <c r="AW47" s="51"/>
      <c r="AX47" s="51"/>
      <c r="AY47" s="54"/>
      <c r="AZ47" s="54"/>
      <c r="BA47" s="54"/>
      <c r="BB47" s="51" t="s">
        <v>69</v>
      </c>
      <c r="BC47" s="51">
        <v>27.299999999999997</v>
      </c>
      <c r="BD47" s="51">
        <v>23.2</v>
      </c>
      <c r="BE47" s="54"/>
      <c r="BF47" s="54"/>
      <c r="BG47" s="54"/>
      <c r="BH47" s="54"/>
    </row>
    <row r="48" spans="2:60" ht="15.75" x14ac:dyDescent="0.25">
      <c r="D48" s="61"/>
      <c r="E48" s="45"/>
      <c r="F48" s="87" t="s">
        <v>102</v>
      </c>
      <c r="G48" s="69">
        <v>3</v>
      </c>
      <c r="H48" s="69">
        <v>140004.79999999999</v>
      </c>
      <c r="I48" s="69">
        <v>46668.266666666663</v>
      </c>
      <c r="J48" s="88">
        <v>1858109341.0133343</v>
      </c>
      <c r="K48" s="65"/>
      <c r="L48" s="65"/>
      <c r="M48" s="87">
        <v>10</v>
      </c>
      <c r="N48" s="69">
        <v>10</v>
      </c>
      <c r="O48" s="85"/>
      <c r="P48" s="65"/>
      <c r="Q48" s="65"/>
      <c r="R48" s="65"/>
      <c r="S48" s="65"/>
      <c r="T48" s="65"/>
      <c r="U48" s="119">
        <v>50000</v>
      </c>
      <c r="V48" s="69">
        <v>0</v>
      </c>
      <c r="W48" s="65"/>
      <c r="X48" s="57" t="s">
        <v>78</v>
      </c>
      <c r="Y48" s="51">
        <v>8</v>
      </c>
      <c r="Z48" s="51"/>
      <c r="AA48" s="76"/>
      <c r="AB48" s="65"/>
      <c r="AC48" s="65"/>
      <c r="AD48" s="76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1"/>
      <c r="BC48" s="51"/>
      <c r="BD48" s="51"/>
      <c r="BE48" s="54"/>
      <c r="BF48" s="54"/>
      <c r="BG48" s="54"/>
      <c r="BH48" s="54"/>
    </row>
    <row r="49" spans="4:60" ht="15.75" x14ac:dyDescent="0.25">
      <c r="D49" s="61"/>
      <c r="E49" s="45"/>
      <c r="F49" s="87" t="s">
        <v>103</v>
      </c>
      <c r="G49" s="69">
        <v>3</v>
      </c>
      <c r="H49" s="69">
        <v>150004.9</v>
      </c>
      <c r="I49" s="69">
        <v>50001.633333333331</v>
      </c>
      <c r="J49" s="88">
        <v>2099755008.0033336</v>
      </c>
      <c r="K49" s="65"/>
      <c r="L49" s="65"/>
      <c r="M49" s="87">
        <v>705000</v>
      </c>
      <c r="N49" s="69">
        <v>44.4</v>
      </c>
      <c r="O49" s="85"/>
      <c r="P49" s="65"/>
      <c r="Q49" s="65"/>
      <c r="R49" s="65"/>
      <c r="S49" s="65"/>
      <c r="T49" s="65"/>
      <c r="U49" s="119">
        <v>55000</v>
      </c>
      <c r="V49" s="69">
        <v>0</v>
      </c>
      <c r="W49" s="65"/>
      <c r="X49" s="57" t="s">
        <v>122</v>
      </c>
      <c r="Y49" s="51">
        <v>-24.368508941428995</v>
      </c>
      <c r="Z49" s="51"/>
      <c r="AA49" s="76"/>
      <c r="AB49" s="65"/>
      <c r="AC49" s="65"/>
      <c r="AD49" s="76"/>
      <c r="AF49" s="54"/>
      <c r="AG49" s="54"/>
      <c r="AH49" s="54"/>
      <c r="AI49" s="54"/>
      <c r="AJ49" s="54"/>
      <c r="AK49" s="54"/>
      <c r="AL49" s="54"/>
      <c r="AM49" s="54"/>
      <c r="AN49" s="54"/>
      <c r="AO49" s="54" t="s">
        <v>75</v>
      </c>
      <c r="AP49" s="54"/>
      <c r="AQ49" s="54"/>
      <c r="AR49" s="54"/>
      <c r="AS49" s="54"/>
      <c r="AT49" s="54"/>
      <c r="AU49" s="54"/>
      <c r="AV49" s="54" t="s">
        <v>75</v>
      </c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</row>
    <row r="50" spans="4:60" ht="15.75" x14ac:dyDescent="0.25">
      <c r="D50" s="61"/>
      <c r="E50" s="45"/>
      <c r="F50" s="87" t="s">
        <v>104</v>
      </c>
      <c r="G50" s="69">
        <v>3</v>
      </c>
      <c r="H50" s="69">
        <v>160004.79999999999</v>
      </c>
      <c r="I50" s="69">
        <v>53334.933333333327</v>
      </c>
      <c r="J50" s="88">
        <v>2358077341.0133343</v>
      </c>
      <c r="K50" s="65"/>
      <c r="L50" s="65"/>
      <c r="M50" s="87">
        <v>70500</v>
      </c>
      <c r="N50" s="69">
        <v>4.4399999999999995</v>
      </c>
      <c r="O50" s="85"/>
      <c r="P50" s="65"/>
      <c r="Q50" s="65"/>
      <c r="R50" s="65"/>
      <c r="S50" s="65"/>
      <c r="T50" s="65"/>
      <c r="U50" s="119">
        <v>60000</v>
      </c>
      <c r="V50" s="69">
        <v>0</v>
      </c>
      <c r="W50" s="65"/>
      <c r="X50" s="57" t="s">
        <v>131</v>
      </c>
      <c r="Y50" s="51">
        <v>4.2917233830360774E-9</v>
      </c>
      <c r="Z50" s="51"/>
      <c r="AA50" s="76"/>
      <c r="AB50" s="65"/>
      <c r="AC50" s="65"/>
      <c r="AD50" s="76"/>
      <c r="AF50" s="54"/>
      <c r="AG50" s="54"/>
      <c r="AH50" s="54"/>
      <c r="AI50" s="54"/>
      <c r="AJ50" s="54"/>
      <c r="AK50" s="54"/>
      <c r="AL50" s="54"/>
      <c r="AM50" s="54"/>
      <c r="AN50" s="54"/>
      <c r="AO50" s="55" t="s">
        <v>76</v>
      </c>
      <c r="AP50" s="55" t="s">
        <v>77</v>
      </c>
      <c r="AQ50" s="55" t="s">
        <v>78</v>
      </c>
      <c r="AR50" s="55" t="s">
        <v>79</v>
      </c>
      <c r="AS50" s="55" t="s">
        <v>80</v>
      </c>
      <c r="AT50" s="55" t="s">
        <v>81</v>
      </c>
      <c r="AU50" s="55" t="s">
        <v>82</v>
      </c>
      <c r="AV50" s="55" t="s">
        <v>76</v>
      </c>
      <c r="AW50" s="55" t="s">
        <v>77</v>
      </c>
      <c r="AX50" s="55" t="s">
        <v>78</v>
      </c>
      <c r="AY50" s="55" t="s">
        <v>79</v>
      </c>
      <c r="AZ50" s="55" t="s">
        <v>80</v>
      </c>
      <c r="BA50" s="55" t="s">
        <v>81</v>
      </c>
      <c r="BB50" s="54" t="s">
        <v>75</v>
      </c>
      <c r="BC50" s="54"/>
      <c r="BD50" s="54"/>
      <c r="BE50" s="54"/>
      <c r="BF50" s="54"/>
      <c r="BG50" s="54"/>
      <c r="BH50" s="54"/>
    </row>
    <row r="51" spans="4:60" ht="16.5" thickBot="1" x14ac:dyDescent="0.3">
      <c r="D51" s="61"/>
      <c r="E51" s="45"/>
      <c r="F51" s="87"/>
      <c r="G51" s="69"/>
      <c r="H51" s="69"/>
      <c r="I51" s="69"/>
      <c r="J51" s="88"/>
      <c r="K51" s="65"/>
      <c r="L51" s="65"/>
      <c r="M51" s="89">
        <v>302500000</v>
      </c>
      <c r="N51" s="90">
        <v>0.14933333333333335</v>
      </c>
      <c r="O51" s="112"/>
      <c r="P51" s="65"/>
      <c r="Q51" s="65"/>
      <c r="R51" s="65"/>
      <c r="S51" s="65"/>
      <c r="T51" s="65"/>
      <c r="U51" s="119">
        <v>65000</v>
      </c>
      <c r="V51" s="69">
        <v>0</v>
      </c>
      <c r="W51" s="65"/>
      <c r="X51" s="57" t="s">
        <v>132</v>
      </c>
      <c r="Y51" s="51">
        <v>1.8595480375308981</v>
      </c>
      <c r="Z51" s="51"/>
      <c r="AA51" s="76"/>
      <c r="AB51" s="65"/>
      <c r="AC51" s="65"/>
      <c r="AD51" s="76"/>
      <c r="AF51" s="54"/>
      <c r="AG51" s="54"/>
      <c r="AH51" s="54"/>
      <c r="AI51" s="54"/>
      <c r="AJ51" s="54"/>
      <c r="AK51" s="54"/>
      <c r="AL51" s="54"/>
      <c r="AM51" s="54"/>
      <c r="AN51" s="54"/>
      <c r="AO51" s="51" t="s">
        <v>105</v>
      </c>
      <c r="AP51" s="51">
        <v>590.88888888888891</v>
      </c>
      <c r="AQ51" s="51">
        <v>8</v>
      </c>
      <c r="AR51" s="51">
        <v>73.861111111111114</v>
      </c>
      <c r="AS51" s="51">
        <v>65535</v>
      </c>
      <c r="AT51" s="51" t="e">
        <v>#NUM!</v>
      </c>
      <c r="AU51" s="51" t="e">
        <v>#NUM!</v>
      </c>
      <c r="AV51" s="51" t="s">
        <v>89</v>
      </c>
      <c r="AW51" s="51">
        <v>0</v>
      </c>
      <c r="AX51" s="51">
        <v>0</v>
      </c>
      <c r="AY51" s="51">
        <v>65535</v>
      </c>
      <c r="AZ51" s="51">
        <v>65535</v>
      </c>
      <c r="BA51" s="51" t="e">
        <v>#NUM!</v>
      </c>
      <c r="BB51" s="55" t="s">
        <v>76</v>
      </c>
      <c r="BC51" s="55" t="s">
        <v>77</v>
      </c>
      <c r="BD51" s="55" t="s">
        <v>78</v>
      </c>
      <c r="BE51" s="55" t="s">
        <v>79</v>
      </c>
      <c r="BF51" s="55" t="s">
        <v>80</v>
      </c>
      <c r="BG51" s="55" t="s">
        <v>81</v>
      </c>
      <c r="BH51" s="55" t="s">
        <v>82</v>
      </c>
    </row>
    <row r="52" spans="4:60" ht="15.75" x14ac:dyDescent="0.25">
      <c r="D52" s="61"/>
      <c r="E52" s="45"/>
      <c r="F52" s="87" t="s">
        <v>62</v>
      </c>
      <c r="G52" s="69">
        <v>10</v>
      </c>
      <c r="H52" s="69">
        <v>435000</v>
      </c>
      <c r="I52" s="69">
        <v>43500</v>
      </c>
      <c r="J52" s="88">
        <v>190055555.55555555</v>
      </c>
      <c r="K52" s="65"/>
      <c r="L52" s="65"/>
      <c r="M52" s="67"/>
      <c r="N52" s="67"/>
      <c r="O52" s="65"/>
      <c r="P52" s="65"/>
      <c r="Q52" s="65"/>
      <c r="R52" s="65"/>
      <c r="S52" s="65"/>
      <c r="T52" s="65"/>
      <c r="U52" s="69" t="s">
        <v>108</v>
      </c>
      <c r="V52" s="69">
        <v>0</v>
      </c>
      <c r="W52" s="65"/>
      <c r="X52" s="57" t="s">
        <v>133</v>
      </c>
      <c r="Y52" s="51">
        <v>8.5834467660721548E-9</v>
      </c>
      <c r="Z52" s="51"/>
      <c r="AA52" s="76"/>
      <c r="AB52" s="65"/>
      <c r="AC52" s="65"/>
      <c r="AD52" s="76"/>
      <c r="AF52" s="54"/>
      <c r="AG52" s="54"/>
      <c r="AH52" s="54"/>
      <c r="AI52" s="54"/>
      <c r="AJ52" s="54"/>
      <c r="AK52" s="54"/>
      <c r="AL52" s="54"/>
      <c r="AM52" s="54"/>
      <c r="AN52" s="54"/>
      <c r="AO52" s="51" t="s">
        <v>90</v>
      </c>
      <c r="AP52" s="51">
        <v>0</v>
      </c>
      <c r="AQ52" s="51">
        <v>0</v>
      </c>
      <c r="AR52" s="51">
        <v>65535</v>
      </c>
      <c r="AS52" s="51">
        <v>65535</v>
      </c>
      <c r="AT52" s="51" t="e">
        <v>#NUM!</v>
      </c>
      <c r="AU52" s="51" t="e">
        <v>#NUM!</v>
      </c>
      <c r="AV52" s="51" t="s">
        <v>90</v>
      </c>
      <c r="AW52" s="51">
        <v>22.049999999999727</v>
      </c>
      <c r="AX52" s="51">
        <v>1</v>
      </c>
      <c r="AY52" s="51">
        <v>22.049999999999727</v>
      </c>
      <c r="AZ52" s="51">
        <v>0.22162041431682117</v>
      </c>
      <c r="BA52" s="51">
        <v>0.64346258810733437</v>
      </c>
      <c r="BB52" s="51" t="s">
        <v>89</v>
      </c>
      <c r="BC52" s="51">
        <v>0</v>
      </c>
      <c r="BD52" s="51">
        <v>0</v>
      </c>
      <c r="BE52" s="51">
        <v>65535</v>
      </c>
      <c r="BF52" s="51">
        <v>65535</v>
      </c>
      <c r="BG52" s="51" t="e">
        <v>#NUM!</v>
      </c>
      <c r="BH52" s="51" t="e">
        <v>#NUM!</v>
      </c>
    </row>
    <row r="53" spans="4:60" ht="16.5" thickBot="1" x14ac:dyDescent="0.3">
      <c r="D53" s="61"/>
      <c r="E53" s="45"/>
      <c r="F53" s="87" t="s">
        <v>63</v>
      </c>
      <c r="G53" s="69">
        <v>10</v>
      </c>
      <c r="H53" s="69">
        <v>705000</v>
      </c>
      <c r="I53" s="69">
        <v>70500</v>
      </c>
      <c r="J53" s="88">
        <v>302500000</v>
      </c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58" t="s">
        <v>134</v>
      </c>
      <c r="Y53" s="52">
        <v>2.3060041352041671</v>
      </c>
      <c r="Z53" s="52"/>
      <c r="AA53" s="121"/>
      <c r="AB53" s="65"/>
      <c r="AC53" s="65"/>
      <c r="AD53" s="76"/>
      <c r="AF53" s="54"/>
      <c r="AG53" s="54"/>
      <c r="AH53" s="54"/>
      <c r="AI53" s="54"/>
      <c r="AJ53" s="54"/>
      <c r="AK53" s="54"/>
      <c r="AL53" s="54"/>
      <c r="AM53" s="54"/>
      <c r="AN53" s="54"/>
      <c r="AO53" s="51" t="s">
        <v>106</v>
      </c>
      <c r="AP53" s="51">
        <v>0</v>
      </c>
      <c r="AQ53" s="51">
        <v>0</v>
      </c>
      <c r="AR53" s="51">
        <v>65535</v>
      </c>
      <c r="AS53" s="51"/>
      <c r="AT53" s="51"/>
      <c r="AU53" s="51"/>
      <c r="AV53" s="51" t="s">
        <v>91</v>
      </c>
      <c r="AW53" s="51">
        <v>0</v>
      </c>
      <c r="AX53" s="51">
        <v>0</v>
      </c>
      <c r="AY53" s="51">
        <v>65535</v>
      </c>
      <c r="AZ53" s="51">
        <v>65535</v>
      </c>
      <c r="BA53" s="51" t="e">
        <v>#NUM!</v>
      </c>
      <c r="BB53" s="51" t="s">
        <v>90</v>
      </c>
      <c r="BC53" s="51">
        <v>67.599999999999966</v>
      </c>
      <c r="BD53" s="51">
        <v>1</v>
      </c>
      <c r="BE53" s="51">
        <v>67.599999999999966</v>
      </c>
      <c r="BF53" s="51">
        <v>2.6772277227722761</v>
      </c>
      <c r="BG53" s="51">
        <v>0.1404301944502061</v>
      </c>
      <c r="BH53" s="51">
        <v>5.3176550715787174</v>
      </c>
    </row>
    <row r="54" spans="4:60" ht="19.5" thickBot="1" x14ac:dyDescent="0.35">
      <c r="D54" s="61"/>
      <c r="E54" s="45"/>
      <c r="F54" s="89" t="s">
        <v>74</v>
      </c>
      <c r="G54" s="90">
        <v>10</v>
      </c>
      <c r="H54" s="90">
        <v>44.4</v>
      </c>
      <c r="I54" s="90">
        <v>4.4399999999999995</v>
      </c>
      <c r="J54" s="91">
        <v>0.14933333333333335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126"/>
      <c r="V54" s="126"/>
      <c r="W54" s="126"/>
      <c r="X54" s="126"/>
      <c r="Y54" s="126"/>
      <c r="Z54" s="126"/>
      <c r="AA54" s="126"/>
      <c r="AB54" s="126"/>
      <c r="AC54" s="126"/>
      <c r="AD54" s="144"/>
      <c r="AF54" s="54"/>
      <c r="AG54" s="54"/>
      <c r="AH54" s="54"/>
      <c r="AI54" s="54"/>
      <c r="AJ54" s="54"/>
      <c r="AK54" s="54"/>
      <c r="AL54" s="54"/>
      <c r="AM54" s="54"/>
      <c r="AN54" s="54"/>
      <c r="AO54" s="51"/>
      <c r="AP54" s="51"/>
      <c r="AQ54" s="51"/>
      <c r="AR54" s="51"/>
      <c r="AS54" s="51"/>
      <c r="AT54" s="51"/>
      <c r="AU54" s="51"/>
      <c r="AV54" s="51" t="s">
        <v>92</v>
      </c>
      <c r="AW54" s="51">
        <v>1790.9</v>
      </c>
      <c r="AX54" s="51">
        <v>18</v>
      </c>
      <c r="AY54" s="51">
        <v>99.494444444444454</v>
      </c>
      <c r="AZ54" s="51"/>
      <c r="BA54" s="51"/>
      <c r="BB54" s="51" t="s">
        <v>91</v>
      </c>
      <c r="BC54" s="51">
        <v>0</v>
      </c>
      <c r="BD54" s="51">
        <v>0</v>
      </c>
      <c r="BE54" s="51">
        <v>65535</v>
      </c>
      <c r="BF54" s="51">
        <v>65535</v>
      </c>
      <c r="BG54" s="51" t="e">
        <v>#NUM!</v>
      </c>
      <c r="BH54" s="51" t="e">
        <v>#NUM!</v>
      </c>
    </row>
    <row r="55" spans="4:60" ht="18.75" x14ac:dyDescent="0.3">
      <c r="D55" s="61"/>
      <c r="E55" s="45"/>
      <c r="F55" s="65"/>
      <c r="G55" s="65"/>
      <c r="H55" s="65"/>
      <c r="I55" s="65"/>
      <c r="J55" s="65"/>
      <c r="K55" s="65"/>
      <c r="L55" s="65"/>
      <c r="M55" s="54"/>
      <c r="N55" s="106" t="s">
        <v>77</v>
      </c>
      <c r="O55" s="107" t="s">
        <v>78</v>
      </c>
      <c r="P55" s="107" t="s">
        <v>79</v>
      </c>
      <c r="Q55" s="107" t="s">
        <v>80</v>
      </c>
      <c r="R55" s="107" t="s">
        <v>81</v>
      </c>
      <c r="S55" s="108" t="s">
        <v>82</v>
      </c>
      <c r="T55" s="65"/>
      <c r="U55" s="127" t="s">
        <v>110</v>
      </c>
      <c r="V55" s="128"/>
      <c r="W55" s="128"/>
      <c r="X55" s="128"/>
      <c r="Y55" s="128"/>
      <c r="Z55" s="128"/>
      <c r="AA55" s="128"/>
      <c r="AB55" s="128"/>
      <c r="AC55" s="129"/>
      <c r="AD55" s="144"/>
      <c r="AF55" s="54"/>
      <c r="AG55" s="54"/>
      <c r="AH55" s="54"/>
      <c r="AI55" s="54"/>
      <c r="AJ55" s="54"/>
      <c r="AK55" s="54"/>
      <c r="AL55" s="54"/>
      <c r="AM55" s="54"/>
      <c r="AN55" s="54"/>
      <c r="AO55" s="51" t="s">
        <v>87</v>
      </c>
      <c r="AP55" s="51">
        <v>590.88888888888891</v>
      </c>
      <c r="AQ55" s="51">
        <v>8</v>
      </c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 t="s">
        <v>92</v>
      </c>
      <c r="BC55" s="51">
        <v>202</v>
      </c>
      <c r="BD55" s="51">
        <v>8</v>
      </c>
      <c r="BE55" s="51">
        <v>25.25</v>
      </c>
      <c r="BF55" s="51"/>
      <c r="BG55" s="51"/>
      <c r="BH55" s="51"/>
    </row>
    <row r="56" spans="4:60" ht="19.5" thickBot="1" x14ac:dyDescent="0.35">
      <c r="D56" s="61"/>
      <c r="E56" s="45"/>
      <c r="F56" s="65"/>
      <c r="G56" s="65"/>
      <c r="H56" s="65"/>
      <c r="I56" s="65"/>
      <c r="J56" s="65"/>
      <c r="K56" s="65"/>
      <c r="L56" s="65"/>
      <c r="M56" s="54"/>
      <c r="N56" s="87">
        <v>0</v>
      </c>
      <c r="O56" s="69">
        <v>0</v>
      </c>
      <c r="P56" s="69">
        <v>65535</v>
      </c>
      <c r="Q56" s="69">
        <v>65535</v>
      </c>
      <c r="R56" s="69" t="e">
        <v>#NUM!</v>
      </c>
      <c r="S56" s="88" t="e">
        <v>#NUM!</v>
      </c>
      <c r="T56" s="65"/>
      <c r="U56" s="130"/>
      <c r="V56" s="131"/>
      <c r="W56" s="131"/>
      <c r="X56" s="131"/>
      <c r="Y56" s="131"/>
      <c r="Z56" s="131"/>
      <c r="AA56" s="131"/>
      <c r="AB56" s="131"/>
      <c r="AC56" s="132"/>
      <c r="AD56" s="14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1" t="s">
        <v>87</v>
      </c>
      <c r="AW56" s="51">
        <v>1812.9499999999998</v>
      </c>
      <c r="AX56" s="51">
        <v>19</v>
      </c>
      <c r="AY56" s="51"/>
      <c r="AZ56" s="51"/>
      <c r="BA56" s="51"/>
      <c r="BB56" s="51"/>
      <c r="BC56" s="51"/>
      <c r="BD56" s="51"/>
      <c r="BE56" s="51"/>
      <c r="BF56" s="51"/>
      <c r="BG56" s="51"/>
      <c r="BH56" s="51"/>
    </row>
    <row r="57" spans="4:60" ht="18.75" x14ac:dyDescent="0.3">
      <c r="D57" s="61"/>
      <c r="E57" s="116"/>
      <c r="F57" s="114" t="s">
        <v>75</v>
      </c>
      <c r="G57" s="114"/>
      <c r="H57" s="114"/>
      <c r="I57" s="114"/>
      <c r="J57" s="114"/>
      <c r="K57" s="114"/>
      <c r="L57" s="115"/>
      <c r="M57" s="54"/>
      <c r="N57" s="87">
        <v>24848119898.568001</v>
      </c>
      <c r="O57" s="69">
        <v>1</v>
      </c>
      <c r="P57" s="69">
        <v>24848119898.568001</v>
      </c>
      <c r="Q57" s="69">
        <v>164.28509015736452</v>
      </c>
      <c r="R57" s="69">
        <v>1.7345745530760743E-10</v>
      </c>
      <c r="S57" s="88">
        <v>4.4138734191705664</v>
      </c>
      <c r="T57" s="65"/>
      <c r="U57" s="133" t="s">
        <v>111</v>
      </c>
      <c r="V57" s="134"/>
      <c r="W57" s="131"/>
      <c r="X57" s="131"/>
      <c r="Y57" s="131"/>
      <c r="Z57" s="131"/>
      <c r="AA57" s="131"/>
      <c r="AB57" s="131"/>
      <c r="AC57" s="132"/>
      <c r="AD57" s="14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1" t="s">
        <v>87</v>
      </c>
      <c r="BC57" s="51">
        <v>269.59999999999997</v>
      </c>
      <c r="BD57" s="51">
        <v>9</v>
      </c>
      <c r="BE57" s="51"/>
      <c r="BF57" s="51"/>
      <c r="BG57" s="51"/>
      <c r="BH57" s="51"/>
    </row>
    <row r="58" spans="4:60" ht="18.75" x14ac:dyDescent="0.3">
      <c r="D58" s="61"/>
      <c r="E58" s="117"/>
      <c r="F58" s="68" t="s">
        <v>76</v>
      </c>
      <c r="G58" s="68" t="s">
        <v>77</v>
      </c>
      <c r="H58" s="68" t="s">
        <v>78</v>
      </c>
      <c r="I58" s="68" t="s">
        <v>79</v>
      </c>
      <c r="J58" s="68" t="s">
        <v>80</v>
      </c>
      <c r="K58" s="68" t="s">
        <v>81</v>
      </c>
      <c r="L58" s="86" t="s">
        <v>82</v>
      </c>
      <c r="M58" s="54"/>
      <c r="N58" s="87">
        <v>-1.9073486328125E-6</v>
      </c>
      <c r="O58" s="69">
        <v>0</v>
      </c>
      <c r="P58" s="69">
        <v>65535</v>
      </c>
      <c r="Q58" s="69">
        <v>65535</v>
      </c>
      <c r="R58" s="69" t="e">
        <v>#NUM!</v>
      </c>
      <c r="S58" s="88" t="e">
        <v>#NUM!</v>
      </c>
      <c r="T58" s="65"/>
      <c r="U58" s="135" t="s">
        <v>112</v>
      </c>
      <c r="V58" s="136">
        <v>0.99818579167790766</v>
      </c>
      <c r="W58" s="131"/>
      <c r="X58" s="131"/>
      <c r="Y58" s="131"/>
      <c r="Z58" s="131"/>
      <c r="AA58" s="131"/>
      <c r="AB58" s="131"/>
      <c r="AC58" s="132"/>
      <c r="AD58" s="14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</row>
    <row r="59" spans="4:60" ht="18.75" x14ac:dyDescent="0.3">
      <c r="D59" s="61"/>
      <c r="E59" s="117"/>
      <c r="F59" s="69" t="s">
        <v>105</v>
      </c>
      <c r="G59" s="69">
        <v>2906069533.7813301</v>
      </c>
      <c r="H59" s="69">
        <v>9</v>
      </c>
      <c r="I59" s="69">
        <v>322896614.86459225</v>
      </c>
      <c r="J59" s="69">
        <v>3.8064202601446362</v>
      </c>
      <c r="K59" s="69">
        <v>7.6168539826111624E-3</v>
      </c>
      <c r="L59" s="88">
        <v>2.4562811491592669</v>
      </c>
      <c r="M59" s="54"/>
      <c r="N59" s="87">
        <v>2722500001.3439999</v>
      </c>
      <c r="O59" s="69">
        <v>18</v>
      </c>
      <c r="P59" s="69">
        <v>151250000.07466665</v>
      </c>
      <c r="Q59" s="69"/>
      <c r="R59" s="69"/>
      <c r="S59" s="88"/>
      <c r="T59" s="65"/>
      <c r="U59" s="135" t="s">
        <v>113</v>
      </c>
      <c r="V59" s="136">
        <v>0.99637487470765118</v>
      </c>
      <c r="W59" s="131"/>
      <c r="X59" s="131"/>
      <c r="Y59" s="131"/>
      <c r="Z59" s="131"/>
      <c r="AA59" s="131"/>
      <c r="AB59" s="131"/>
      <c r="AC59" s="132"/>
      <c r="AD59" s="14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</row>
    <row r="60" spans="4:60" ht="18.75" x14ac:dyDescent="0.3">
      <c r="D60" s="61"/>
      <c r="E60" s="117"/>
      <c r="F60" s="69" t="s">
        <v>90</v>
      </c>
      <c r="G60" s="69">
        <v>25301625731.423996</v>
      </c>
      <c r="H60" s="69">
        <v>2</v>
      </c>
      <c r="I60" s="69">
        <v>12650812865.711998</v>
      </c>
      <c r="J60" s="69">
        <v>149.13228625682012</v>
      </c>
      <c r="K60" s="69">
        <v>6.2661045289824602E-12</v>
      </c>
      <c r="L60" s="88">
        <v>3.5545571456617879</v>
      </c>
      <c r="M60" s="54"/>
      <c r="N60" s="87"/>
      <c r="O60" s="69"/>
      <c r="P60" s="69"/>
      <c r="Q60" s="69"/>
      <c r="R60" s="69"/>
      <c r="S60" s="88"/>
      <c r="T60" s="65"/>
      <c r="U60" s="135" t="s">
        <v>114</v>
      </c>
      <c r="V60" s="136">
        <v>0.99585699966588703</v>
      </c>
      <c r="W60" s="131"/>
      <c r="X60" s="131"/>
      <c r="Y60" s="131"/>
      <c r="Z60" s="131"/>
      <c r="AA60" s="131"/>
      <c r="AB60" s="131"/>
      <c r="AC60" s="132"/>
      <c r="AD60" s="14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</row>
    <row r="61" spans="4:60" ht="19.5" thickBot="1" x14ac:dyDescent="0.35">
      <c r="D61" s="61"/>
      <c r="E61" s="117"/>
      <c r="F61" s="69" t="s">
        <v>106</v>
      </c>
      <c r="G61" s="69">
        <v>1526930467.5626678</v>
      </c>
      <c r="H61" s="69">
        <v>18</v>
      </c>
      <c r="I61" s="69">
        <v>84829470.420148209</v>
      </c>
      <c r="J61" s="69"/>
      <c r="K61" s="69"/>
      <c r="L61" s="88"/>
      <c r="M61" s="54"/>
      <c r="N61" s="89">
        <v>27570619899.911999</v>
      </c>
      <c r="O61" s="90">
        <v>19</v>
      </c>
      <c r="P61" s="90"/>
      <c r="Q61" s="90"/>
      <c r="R61" s="90"/>
      <c r="S61" s="91"/>
      <c r="T61" s="65"/>
      <c r="U61" s="135" t="s">
        <v>115</v>
      </c>
      <c r="V61" s="136">
        <v>0.35254788330578163</v>
      </c>
      <c r="W61" s="131"/>
      <c r="X61" s="131"/>
      <c r="Y61" s="131"/>
      <c r="Z61" s="131"/>
      <c r="AA61" s="131"/>
      <c r="AB61" s="131"/>
      <c r="AC61" s="132"/>
      <c r="AD61" s="14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 spans="4:60" ht="18.75" x14ac:dyDescent="0.3">
      <c r="D62" s="61"/>
      <c r="E62" s="117"/>
      <c r="F62" s="69"/>
      <c r="G62" s="69"/>
      <c r="H62" s="69"/>
      <c r="I62" s="69"/>
      <c r="J62" s="69"/>
      <c r="K62" s="69"/>
      <c r="L62" s="88"/>
      <c r="M62" s="65"/>
      <c r="N62" s="65"/>
      <c r="O62" s="65"/>
      <c r="P62" s="65"/>
      <c r="Q62" s="65"/>
      <c r="R62" s="65"/>
      <c r="S62" s="65"/>
      <c r="T62" s="65"/>
      <c r="U62" s="135" t="s">
        <v>116</v>
      </c>
      <c r="V62" s="136">
        <v>9</v>
      </c>
      <c r="W62" s="131"/>
      <c r="X62" s="131"/>
      <c r="Y62" s="131"/>
      <c r="Z62" s="131"/>
      <c r="AA62" s="131"/>
      <c r="AB62" s="131"/>
      <c r="AC62" s="132"/>
      <c r="AD62" s="144"/>
      <c r="AK62" s="54"/>
      <c r="AL62" s="54"/>
      <c r="AM62" s="54"/>
      <c r="AN62" s="54"/>
      <c r="AO62" s="54"/>
      <c r="AP62" s="54"/>
      <c r="AQ62" s="54"/>
      <c r="AR62" s="54"/>
      <c r="AS62" s="54"/>
      <c r="AT62" s="54"/>
    </row>
    <row r="63" spans="4:60" ht="19.5" thickBot="1" x14ac:dyDescent="0.35">
      <c r="D63" s="61"/>
      <c r="E63" s="118"/>
      <c r="F63" s="90" t="s">
        <v>87</v>
      </c>
      <c r="G63" s="90">
        <v>29734625732.767994</v>
      </c>
      <c r="H63" s="90">
        <v>29</v>
      </c>
      <c r="I63" s="90"/>
      <c r="J63" s="90"/>
      <c r="K63" s="90"/>
      <c r="L63" s="91"/>
      <c r="M63" s="65"/>
      <c r="N63" s="65"/>
      <c r="O63" s="65"/>
      <c r="P63" s="65"/>
      <c r="Q63" s="65"/>
      <c r="R63" s="65"/>
      <c r="S63" s="65"/>
      <c r="T63" s="65"/>
      <c r="U63" s="130"/>
      <c r="V63" s="131"/>
      <c r="W63" s="131"/>
      <c r="X63" s="131"/>
      <c r="Y63" s="131"/>
      <c r="Z63" s="131"/>
      <c r="AA63" s="131"/>
      <c r="AB63" s="131"/>
      <c r="AC63" s="132"/>
      <c r="AD63" s="144"/>
      <c r="AK63" s="54"/>
      <c r="AL63" s="54"/>
      <c r="AM63" s="54"/>
      <c r="AN63" s="54"/>
      <c r="AO63" s="54"/>
      <c r="AP63" s="54"/>
      <c r="AQ63" s="54"/>
      <c r="AR63" s="54"/>
      <c r="AS63" s="54"/>
      <c r="AT63" s="54"/>
    </row>
    <row r="64" spans="4:60" ht="18.75" x14ac:dyDescent="0.3">
      <c r="D64" s="61"/>
      <c r="E64" s="4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130" t="s">
        <v>75</v>
      </c>
      <c r="V64" s="131"/>
      <c r="W64" s="131"/>
      <c r="X64" s="131"/>
      <c r="Y64" s="131"/>
      <c r="Z64" s="131"/>
      <c r="AA64" s="131"/>
      <c r="AB64" s="131"/>
      <c r="AC64" s="132"/>
      <c r="AD64" s="144"/>
      <c r="AK64" s="54"/>
      <c r="AL64" s="54"/>
      <c r="AM64" s="54"/>
      <c r="AN64" s="54"/>
      <c r="AO64" s="54"/>
      <c r="AP64" s="54"/>
      <c r="AQ64" s="54"/>
      <c r="AR64" s="54"/>
      <c r="AS64" s="54"/>
      <c r="AT64" s="54"/>
    </row>
    <row r="65" spans="4:46" ht="18.75" x14ac:dyDescent="0.3">
      <c r="D65" s="61"/>
      <c r="E65" s="4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137"/>
      <c r="V65" s="138" t="s">
        <v>78</v>
      </c>
      <c r="W65" s="138" t="s">
        <v>77</v>
      </c>
      <c r="X65" s="138" t="s">
        <v>79</v>
      </c>
      <c r="Y65" s="138" t="s">
        <v>80</v>
      </c>
      <c r="Z65" s="138" t="s">
        <v>120</v>
      </c>
      <c r="AA65" s="131"/>
      <c r="AB65" s="131"/>
      <c r="AC65" s="132"/>
      <c r="AD65" s="144"/>
      <c r="AK65" s="54"/>
      <c r="AL65" s="54"/>
      <c r="AM65" s="54"/>
      <c r="AN65" s="54"/>
      <c r="AO65" s="54"/>
      <c r="AP65" s="54"/>
      <c r="AQ65" s="54"/>
      <c r="AR65" s="54"/>
      <c r="AS65" s="54"/>
      <c r="AT65" s="54"/>
    </row>
    <row r="66" spans="4:46" ht="18.75" x14ac:dyDescent="0.3">
      <c r="D66" s="61"/>
      <c r="E66" s="4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135" t="s">
        <v>117</v>
      </c>
      <c r="V66" s="136">
        <v>1</v>
      </c>
      <c r="W66" s="136">
        <v>239.12996992983628</v>
      </c>
      <c r="X66" s="136">
        <v>239.12996992983628</v>
      </c>
      <c r="Y66" s="136">
        <v>1923.9677419354973</v>
      </c>
      <c r="Z66" s="136">
        <v>8.3594138054886397E-10</v>
      </c>
      <c r="AA66" s="131"/>
      <c r="AB66" s="131"/>
      <c r="AC66" s="132"/>
      <c r="AD66" s="144"/>
      <c r="AK66" s="54"/>
      <c r="AL66" s="54"/>
      <c r="AM66" s="54"/>
      <c r="AN66" s="54"/>
      <c r="AO66" s="54"/>
      <c r="AP66" s="54"/>
      <c r="AQ66" s="54"/>
      <c r="AR66" s="54"/>
      <c r="AS66" s="54"/>
      <c r="AT66" s="54"/>
    </row>
    <row r="67" spans="4:46" ht="18.75" x14ac:dyDescent="0.3">
      <c r="D67" s="61"/>
      <c r="E67" s="4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135" t="s">
        <v>118</v>
      </c>
      <c r="V67" s="136">
        <v>7</v>
      </c>
      <c r="W67" s="136">
        <v>0.87003007016370926</v>
      </c>
      <c r="X67" s="136">
        <v>0.12429001002338703</v>
      </c>
      <c r="Y67" s="136"/>
      <c r="Z67" s="136"/>
      <c r="AA67" s="131"/>
      <c r="AB67" s="131"/>
      <c r="AC67" s="132"/>
      <c r="AD67" s="144"/>
      <c r="AK67" s="54"/>
      <c r="AL67" s="54"/>
      <c r="AM67" s="54"/>
      <c r="AN67" s="54"/>
      <c r="AO67" s="54"/>
      <c r="AP67" s="54"/>
      <c r="AQ67" s="54"/>
      <c r="AR67" s="54"/>
      <c r="AS67" s="54"/>
      <c r="AT67" s="54"/>
    </row>
    <row r="68" spans="4:46" ht="18.75" x14ac:dyDescent="0.3">
      <c r="D68" s="61"/>
      <c r="E68" s="4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135" t="s">
        <v>87</v>
      </c>
      <c r="V68" s="136">
        <v>8</v>
      </c>
      <c r="W68" s="136">
        <v>240</v>
      </c>
      <c r="X68" s="136"/>
      <c r="Y68" s="136"/>
      <c r="Z68" s="136"/>
      <c r="AA68" s="131"/>
      <c r="AB68" s="131"/>
      <c r="AC68" s="132"/>
      <c r="AD68" s="144"/>
      <c r="AK68" s="54"/>
      <c r="AL68" s="54"/>
      <c r="AM68" s="54"/>
      <c r="AN68" s="54"/>
      <c r="AO68" s="54"/>
      <c r="AP68" s="54"/>
      <c r="AQ68" s="54"/>
      <c r="AR68" s="54"/>
      <c r="AS68" s="54"/>
      <c r="AT68" s="54"/>
    </row>
    <row r="69" spans="4:46" ht="18.75" x14ac:dyDescent="0.3">
      <c r="D69" s="61"/>
      <c r="E69" s="4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130"/>
      <c r="V69" s="131"/>
      <c r="W69" s="131"/>
      <c r="X69" s="131"/>
      <c r="Y69" s="131"/>
      <c r="Z69" s="131"/>
      <c r="AA69" s="131"/>
      <c r="AB69" s="131"/>
      <c r="AC69" s="132"/>
      <c r="AD69" s="144"/>
      <c r="AK69" s="54"/>
      <c r="AL69" s="54"/>
      <c r="AM69" s="54"/>
      <c r="AN69" s="54"/>
      <c r="AO69" s="54"/>
      <c r="AP69" s="54"/>
      <c r="AQ69" s="54"/>
      <c r="AR69" s="54"/>
      <c r="AS69" s="54"/>
      <c r="AT69" s="54"/>
    </row>
    <row r="70" spans="4:46" ht="18.75" x14ac:dyDescent="0.3">
      <c r="D70" s="61"/>
      <c r="E70" s="4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137"/>
      <c r="V70" s="138" t="s">
        <v>121</v>
      </c>
      <c r="W70" s="138" t="s">
        <v>115</v>
      </c>
      <c r="X70" s="138" t="s">
        <v>122</v>
      </c>
      <c r="Y70" s="138" t="s">
        <v>81</v>
      </c>
      <c r="Z70" s="138" t="s">
        <v>123</v>
      </c>
      <c r="AA70" s="138" t="s">
        <v>124</v>
      </c>
      <c r="AB70" s="138" t="s">
        <v>125</v>
      </c>
      <c r="AC70" s="139" t="s">
        <v>126</v>
      </c>
      <c r="AD70" s="144"/>
      <c r="AK70" s="54"/>
      <c r="AL70" s="54"/>
      <c r="AM70" s="54"/>
      <c r="AN70" s="54"/>
      <c r="AO70" s="54"/>
      <c r="AP70" s="54"/>
      <c r="AQ70" s="54"/>
      <c r="AR70" s="54"/>
      <c r="AS70" s="54"/>
      <c r="AT70" s="54"/>
    </row>
    <row r="71" spans="4:46" ht="18.75" x14ac:dyDescent="0.3">
      <c r="D71" s="61"/>
      <c r="E71" s="4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135" t="s">
        <v>119</v>
      </c>
      <c r="V71" s="136">
        <v>12.684931506849317</v>
      </c>
      <c r="W71" s="136">
        <v>0.45576040964303738</v>
      </c>
      <c r="X71" s="136">
        <v>27.832455909859444</v>
      </c>
      <c r="Y71" s="136">
        <v>1.9849922164676457E-8</v>
      </c>
      <c r="Z71" s="136">
        <v>11.607229389291529</v>
      </c>
      <c r="AA71" s="136">
        <v>13.762633624407105</v>
      </c>
      <c r="AB71" s="136">
        <v>11.607229389291529</v>
      </c>
      <c r="AC71" s="140">
        <v>13.762633624407105</v>
      </c>
      <c r="AD71" s="144"/>
      <c r="AK71" s="54"/>
      <c r="AL71" s="54"/>
      <c r="AM71" s="54"/>
      <c r="AN71" s="54"/>
      <c r="AO71" s="54"/>
      <c r="AP71" s="54"/>
      <c r="AQ71" s="54"/>
      <c r="AR71" s="54"/>
      <c r="AS71" s="54"/>
      <c r="AT71" s="54"/>
    </row>
    <row r="72" spans="4:46" ht="19.5" thickBot="1" x14ac:dyDescent="0.35">
      <c r="D72" s="61"/>
      <c r="E72" s="46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141">
        <v>25000</v>
      </c>
      <c r="V72" s="142">
        <v>4.2398930838623451E-4</v>
      </c>
      <c r="W72" s="142">
        <v>9.6662052398859879E-6</v>
      </c>
      <c r="X72" s="142">
        <v>43.863056687097142</v>
      </c>
      <c r="Y72" s="142">
        <v>8.3594138054886397E-10</v>
      </c>
      <c r="Z72" s="142">
        <v>4.0113236505512687E-4</v>
      </c>
      <c r="AA72" s="142">
        <v>4.4684625171734216E-4</v>
      </c>
      <c r="AB72" s="142">
        <v>4.0113236505512687E-4</v>
      </c>
      <c r="AC72" s="143">
        <v>4.4684625171734216E-4</v>
      </c>
      <c r="AD72" s="144"/>
      <c r="AK72" s="54"/>
      <c r="AL72" s="54"/>
      <c r="AM72" s="54"/>
      <c r="AN72" s="54"/>
      <c r="AO72" s="54"/>
      <c r="AP72" s="54"/>
      <c r="AQ72" s="54"/>
      <c r="AR72" s="54"/>
      <c r="AS72" s="54"/>
      <c r="AT72" s="54"/>
    </row>
    <row r="73" spans="4:46" x14ac:dyDescent="0.25">
      <c r="D73" s="61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124"/>
      <c r="AK73" s="54"/>
      <c r="AL73" s="54"/>
      <c r="AM73" s="54"/>
      <c r="AN73" s="54"/>
      <c r="AO73" s="54"/>
      <c r="AP73" s="54"/>
      <c r="AQ73" s="54"/>
      <c r="AR73" s="54"/>
      <c r="AS73" s="54"/>
      <c r="AT73" s="54"/>
    </row>
    <row r="74" spans="4:46" ht="15.75" thickBot="1" x14ac:dyDescent="0.3">
      <c r="D74" s="62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125"/>
      <c r="AK74" s="54"/>
      <c r="AL74" s="54"/>
      <c r="AM74" s="54"/>
      <c r="AN74" s="54"/>
      <c r="AO74" s="54"/>
      <c r="AP74" s="54"/>
      <c r="AQ74" s="54"/>
      <c r="AR74" s="54"/>
      <c r="AS74" s="54"/>
      <c r="AT74" s="54"/>
    </row>
    <row r="75" spans="4:46" x14ac:dyDescent="0.25">
      <c r="AK75" s="54"/>
      <c r="AL75" s="54"/>
      <c r="AM75" s="54"/>
      <c r="AN75" s="54"/>
      <c r="AO75" s="54"/>
      <c r="AP75" s="54"/>
      <c r="AQ75" s="54"/>
      <c r="AR75" s="54"/>
      <c r="AS75" s="54"/>
      <c r="AT75" s="54"/>
    </row>
  </sheetData>
  <sortState xmlns:xlrd2="http://schemas.microsoft.com/office/spreadsheetml/2017/richdata2" ref="U42:U51">
    <sortCondition ref="U42"/>
  </sortState>
  <phoneticPr fontId="7" type="noConversion"/>
  <conditionalFormatting sqref="M8:M17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N8:N17">
    <cfRule type="containsText" dxfId="10" priority="1" operator="containsText" text="HR">
      <formula>NOT(ISERROR(SEARCH("HR",N8)))</formula>
    </cfRule>
    <cfRule type="containsText" dxfId="9" priority="2" operator="containsText" text="Finance">
      <formula>NOT(ISERROR(SEARCH("Finance",N8)))</formula>
    </cfRule>
    <cfRule type="containsText" dxfId="8" priority="5" operator="containsText" text="Sales">
      <formula>NOT(ISERROR(SEARCH("Sales",N8)))</formula>
    </cfRule>
  </conditionalFormatting>
  <conditionalFormatting sqref="N10:N17">
    <cfRule type="containsText" dxfId="7" priority="3" operator="containsText" text="FINANACE">
      <formula>NOT(ISERROR(SEARCH("FINANACE",N10)))</formula>
    </cfRule>
    <cfRule type="containsText" dxfId="6" priority="4" operator="containsText" text="Marketing">
      <formula>NOT(ISERROR(SEARCH("Marketing",N10)))</formula>
    </cfRule>
  </conditionalFormatting>
  <conditionalFormatting sqref="O8:O17">
    <cfRule type="iconSet" priority="9">
      <iconSet iconSet="3Arrows">
        <cfvo type="percent" val="0"/>
        <cfvo type="percent" val="33"/>
        <cfvo type="percent" val="67"/>
      </iconSet>
    </cfRule>
    <cfRule type="cellIs" dxfId="5" priority="11" operator="between">
      <formula>45000</formula>
      <formula>75000</formula>
    </cfRule>
    <cfRule type="cellIs" dxfId="4" priority="12" operator="lessThan">
      <formula>80000</formula>
    </cfRule>
    <cfRule type="cellIs" dxfId="3" priority="13" operator="greaterThan">
      <formula>80000</formula>
    </cfRule>
  </conditionalFormatting>
  <conditionalFormatting sqref="P8:P17">
    <cfRule type="cellIs" dxfId="2" priority="6" operator="between">
      <formula>50000</formula>
      <formula>79000</formula>
    </cfRule>
    <cfRule type="cellIs" dxfId="1" priority="7" operator="between">
      <formula>80500</formula>
      <formula>100000</formula>
    </cfRule>
  </conditionalFormatting>
  <conditionalFormatting sqref="Q8:Q17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{DA5B9A25-8847-4384-AB49-36DFD84C2D72}</x14:id>
        </ext>
      </extLst>
    </cfRule>
  </conditionalFormatting>
  <conditionalFormatting sqref="R4">
    <cfRule type="cellIs" dxfId="0" priority="21" operator="greaterThan">
      <formula>80000</formula>
    </cfRule>
  </conditionalFormatting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5B9A25-8847-4384-AB49-36DFD84C2D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Q8:Q17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24695A3217@mits.com</dc:creator>
  <cp:lastModifiedBy>24695A3217@mits.com</cp:lastModifiedBy>
  <dcterms:created xsi:type="dcterms:W3CDTF">2026-06-04T08:48:27Z</dcterms:created>
  <dcterms:modified xsi:type="dcterms:W3CDTF">2026-06-05T07:20:13Z</dcterms:modified>
</cp:coreProperties>
</file>