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 ANALYTICS\EXCEL\"/>
    </mc:Choice>
  </mc:AlternateContent>
  <xr:revisionPtr revIDLastSave="0" documentId="13_ncr:1_{92D45690-55BF-4E1F-A5DA-4E80E5CD2D76}" xr6:coauthVersionLast="47" xr6:coauthVersionMax="47" xr10:uidLastSave="{00000000-0000-0000-0000-000000000000}"/>
  <bookViews>
    <workbookView xWindow="-120" yWindow="-120" windowWidth="29040" windowHeight="15720" activeTab="6" xr2:uid="{50E4A0BF-8E42-4272-87C3-5D4C427D859B}"/>
  </bookViews>
  <sheets>
    <sheet name="Sheet1" sheetId="1" r:id="rId1"/>
    <sheet name="DICE" sheetId="2" r:id="rId2"/>
    <sheet name="RULE 1" sheetId="3" r:id="rId3"/>
    <sheet name="RULE 2" sheetId="4" r:id="rId4"/>
    <sheet name="INDEPENDENT EVENTS" sheetId="5" r:id="rId5"/>
    <sheet name="CUMMULATIVE" sheetId="6" r:id="rId6"/>
    <sheet name="UNIFORM DISTRIBUT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7" i="7" l="1"/>
  <c r="AD37" i="7"/>
  <c r="AE36" i="7"/>
  <c r="AD36" i="7"/>
  <c r="H26" i="1" l="1"/>
  <c r="H26" i="2"/>
  <c r="H26" i="3"/>
  <c r="H26" i="4"/>
  <c r="H26" i="5"/>
  <c r="H26" i="6"/>
  <c r="H26" i="7"/>
  <c r="H27" i="1"/>
  <c r="H27" i="2"/>
  <c r="H27" i="3"/>
  <c r="H27" i="4"/>
  <c r="H27" i="5"/>
  <c r="H27" i="6"/>
  <c r="H27" i="7"/>
  <c r="L19" i="1"/>
  <c r="L19" i="2"/>
  <c r="L19" i="3"/>
  <c r="L19" i="4"/>
  <c r="L19" i="5"/>
  <c r="L19" i="6"/>
  <c r="L19" i="7"/>
  <c r="L24" i="1"/>
  <c r="L24" i="2"/>
  <c r="L24" i="3"/>
  <c r="L24" i="4"/>
  <c r="L24" i="5"/>
  <c r="L24" i="6"/>
  <c r="L24" i="7"/>
  <c r="K22" i="6"/>
  <c r="K24" i="6"/>
  <c r="L21" i="7"/>
  <c r="P4" i="1"/>
  <c r="P4" i="2"/>
  <c r="P4" i="3"/>
  <c r="P4" i="4"/>
  <c r="P4" i="5"/>
  <c r="P4" i="6"/>
  <c r="P4" i="7"/>
  <c r="AA4" i="1"/>
  <c r="AA4" i="2"/>
  <c r="AA4" i="3"/>
  <c r="AA4" i="4"/>
  <c r="AA4" i="5"/>
  <c r="AA4" i="6"/>
  <c r="AA4" i="7"/>
  <c r="X4" i="1"/>
  <c r="X4" i="2"/>
  <c r="X4" i="3"/>
  <c r="X4" i="4"/>
  <c r="X4" i="5"/>
  <c r="X4" i="6"/>
  <c r="X4" i="7"/>
  <c r="AB4" i="1"/>
  <c r="AB4" i="2"/>
  <c r="AB4" i="3"/>
  <c r="AB4" i="4"/>
  <c r="AB4" i="5"/>
  <c r="AB4" i="6"/>
  <c r="AB4" i="7"/>
  <c r="Z4" i="1"/>
  <c r="Z4" i="2"/>
  <c r="Z4" i="3"/>
  <c r="Z4" i="4"/>
  <c r="Z4" i="5"/>
  <c r="Z4" i="6"/>
  <c r="Z4" i="7"/>
  <c r="Y4" i="1"/>
  <c r="AA13" i="1" s="1"/>
  <c r="Y4" i="2"/>
  <c r="AA13" i="2" s="1"/>
  <c r="Y4" i="3"/>
  <c r="AA13" i="3" s="1"/>
  <c r="Y4" i="4"/>
  <c r="AA13" i="4" s="1"/>
  <c r="Y4" i="5"/>
  <c r="AA13" i="5" s="1"/>
  <c r="Y4" i="6"/>
  <c r="AA13" i="6" s="1"/>
  <c r="Y4" i="7"/>
  <c r="H20" i="7"/>
  <c r="H21" i="7"/>
  <c r="H22" i="7"/>
  <c r="H23" i="7"/>
  <c r="H24" i="7"/>
  <c r="H25" i="7"/>
  <c r="R31" i="1"/>
  <c r="R31" i="2"/>
  <c r="R31" i="3"/>
  <c r="R31" i="4"/>
  <c r="R31" i="5"/>
  <c r="R31" i="6"/>
  <c r="R31" i="7"/>
  <c r="Q31" i="1"/>
  <c r="Q31" i="2"/>
  <c r="Q31" i="3"/>
  <c r="Q31" i="4"/>
  <c r="Q31" i="5"/>
  <c r="Q31" i="6"/>
  <c r="Q31" i="7"/>
  <c r="AA13" i="7" l="1"/>
  <c r="U19" i="7"/>
  <c r="Q19" i="7"/>
  <c r="S19" i="7" s="1"/>
  <c r="R19" i="7"/>
  <c r="T20" i="7" s="1"/>
  <c r="C19" i="7"/>
  <c r="W19" i="7"/>
  <c r="V19" i="7"/>
  <c r="L5" i="7"/>
  <c r="L6" i="7"/>
  <c r="L7" i="7"/>
  <c r="L8" i="7"/>
  <c r="L9" i="7"/>
  <c r="L10" i="7"/>
  <c r="L11" i="7"/>
  <c r="L12" i="7"/>
  <c r="L13" i="7"/>
  <c r="L14" i="7"/>
  <c r="H19" i="7"/>
  <c r="L20" i="7"/>
  <c r="L22" i="7"/>
  <c r="L23" i="7"/>
  <c r="L25" i="7"/>
  <c r="L26" i="7"/>
  <c r="L27" i="7"/>
  <c r="L28" i="7"/>
  <c r="C20" i="7"/>
  <c r="C21" i="7"/>
  <c r="C22" i="7"/>
  <c r="C23" i="7"/>
  <c r="C24" i="7"/>
  <c r="C25" i="7"/>
  <c r="C26" i="7"/>
  <c r="C27" i="7"/>
  <c r="C28" i="7"/>
  <c r="J14" i="7"/>
  <c r="K14" i="7"/>
  <c r="L4" i="7"/>
  <c r="K13" i="6"/>
  <c r="K7" i="6"/>
  <c r="K10" i="6"/>
  <c r="K16" i="6"/>
  <c r="K19" i="6"/>
  <c r="E10" i="6"/>
  <c r="E8" i="6"/>
  <c r="B7" i="6" a="1"/>
  <c r="B7" i="6" s="1"/>
  <c r="H4" i="5"/>
  <c r="C4" i="5" a="1"/>
  <c r="C4" i="5" s="1"/>
  <c r="G5" i="4"/>
  <c r="F9" i="4"/>
  <c r="E9" i="4"/>
  <c r="E6" i="4"/>
  <c r="F6" i="4"/>
  <c r="F4" i="4"/>
  <c r="E4" i="4"/>
  <c r="B4" i="4" a="1"/>
  <c r="B4" i="4" s="1"/>
  <c r="F6" i="3"/>
  <c r="D5" i="3"/>
  <c r="C5" i="3"/>
  <c r="A5" i="3" a="1"/>
  <c r="A5" i="3" s="1"/>
  <c r="H8" i="2"/>
  <c r="H7" i="2"/>
  <c r="H3" i="2"/>
  <c r="F3" i="2" a="1"/>
  <c r="F3" i="2" s="1"/>
  <c r="E41" i="1"/>
  <c r="E38" i="1"/>
  <c r="F41" i="1"/>
  <c r="F38" i="1"/>
  <c r="A38" i="1" a="1"/>
  <c r="A38" i="1" s="1"/>
  <c r="M3" i="1"/>
  <c r="J4" i="1"/>
  <c r="J5" i="1"/>
  <c r="M4" i="1"/>
  <c r="J6" i="1"/>
  <c r="J7" i="1"/>
  <c r="J8" i="1"/>
  <c r="I8" i="1"/>
  <c r="I7" i="1"/>
  <c r="I6" i="1"/>
  <c r="I5" i="1"/>
  <c r="I4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9" i="1"/>
  <c r="F30" i="1"/>
  <c r="F31" i="1"/>
  <c r="T28" i="7" l="1"/>
  <c r="S25" i="7"/>
  <c r="S27" i="7"/>
  <c r="S22" i="7"/>
  <c r="S23" i="7"/>
  <c r="S24" i="7"/>
  <c r="S26" i="7"/>
  <c r="S28" i="7"/>
  <c r="S21" i="7"/>
  <c r="T24" i="7"/>
  <c r="T25" i="7"/>
  <c r="T21" i="7"/>
  <c r="T22" i="7"/>
  <c r="T23" i="7"/>
  <c r="T26" i="7"/>
  <c r="T27" i="7"/>
  <c r="T19" i="7"/>
  <c r="S20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<sst xmlns="http://schemas.openxmlformats.org/spreadsheetml/2006/main" count="1072" uniqueCount="205">
  <si>
    <t>ST_ID</t>
  </si>
  <si>
    <t>Student_Name</t>
  </si>
  <si>
    <t>Department</t>
  </si>
  <si>
    <t>Rahul Sharma</t>
  </si>
  <si>
    <t>Engineering</t>
  </si>
  <si>
    <t>Priya Reddy</t>
  </si>
  <si>
    <t>Science</t>
  </si>
  <si>
    <t>Arjun Kumar</t>
  </si>
  <si>
    <t>Arts</t>
  </si>
  <si>
    <t>Sneha Patel</t>
  </si>
  <si>
    <t>Commerce</t>
  </si>
  <si>
    <t>Kiran Verma</t>
  </si>
  <si>
    <t>Management</t>
  </si>
  <si>
    <t>Anjali Singh</t>
  </si>
  <si>
    <t>Rohit Gupta</t>
  </si>
  <si>
    <t>Pooja Nair</t>
  </si>
  <si>
    <t>Akash Jain</t>
  </si>
  <si>
    <t>Neha Das</t>
  </si>
  <si>
    <t>Vivek Rao</t>
  </si>
  <si>
    <t>Kavya Iyer</t>
  </si>
  <si>
    <t>Manish Yadav</t>
  </si>
  <si>
    <t>Divya Sharma</t>
  </si>
  <si>
    <t>Nitin Kumar</t>
  </si>
  <si>
    <t>Riya Gupta</t>
  </si>
  <si>
    <t>Sandeep Reddy</t>
  </si>
  <si>
    <t>Meera Joshi</t>
  </si>
  <si>
    <t>Harish Patel</t>
  </si>
  <si>
    <t>Asha Nair</t>
  </si>
  <si>
    <t>Tarun Singh</t>
  </si>
  <si>
    <t>Lakshmi Rao</t>
  </si>
  <si>
    <t>Varun Gupta</t>
  </si>
  <si>
    <t>Swathi Reddy</t>
  </si>
  <si>
    <t>Deepak Jain</t>
  </si>
  <si>
    <t>Nikhil Sharma</t>
  </si>
  <si>
    <t>Bhavana Das</t>
  </si>
  <si>
    <t>Mohan Kumar</t>
  </si>
  <si>
    <t>Keerthi Patel</t>
  </si>
  <si>
    <t>Gopal Verma</t>
  </si>
  <si>
    <t>RANDOM</t>
  </si>
  <si>
    <t>SYSTEMATIC</t>
  </si>
  <si>
    <t>SELECT STUDENTS</t>
  </si>
  <si>
    <t>PICK SAMPLES</t>
  </si>
  <si>
    <t>CLUSTERING</t>
  </si>
  <si>
    <t>ARTS</t>
  </si>
  <si>
    <t>ENGENEERING</t>
  </si>
  <si>
    <t>SCIENCE</t>
  </si>
  <si>
    <t>COMMERCE</t>
  </si>
  <si>
    <t>MANAGEMENT</t>
  </si>
  <si>
    <t>STRATIFIED SAMPLING</t>
  </si>
  <si>
    <t>CLUSTERING RANDOM SAMPLING</t>
  </si>
  <si>
    <t>PROBABILTY</t>
  </si>
  <si>
    <t>TRAILNO</t>
  </si>
  <si>
    <t>RESULT</t>
  </si>
  <si>
    <t>TAILS</t>
  </si>
  <si>
    <t>HEADS</t>
  </si>
  <si>
    <t>P(HEADS)</t>
  </si>
  <si>
    <t>COUNTOF HEADS</t>
  </si>
  <si>
    <t>COUNTOF TAILS</t>
  </si>
  <si>
    <t>P(TAILS)</t>
  </si>
  <si>
    <t>TRAIL</t>
  </si>
  <si>
    <t>ROLL NO</t>
  </si>
  <si>
    <t xml:space="preserve"> </t>
  </si>
  <si>
    <t>PROBABILITY OF GETTING 6</t>
  </si>
  <si>
    <t>COUNT OF GETTING 6</t>
  </si>
  <si>
    <t>TRAIl</t>
  </si>
  <si>
    <t>EXP PROBABILITY</t>
  </si>
  <si>
    <t>P(AUB)=P(A)+(B)</t>
  </si>
  <si>
    <t>COUNT OF 4</t>
  </si>
  <si>
    <t>COUNT OF 6</t>
  </si>
  <si>
    <t>DICE</t>
  </si>
  <si>
    <t>TRAIL NO</t>
  </si>
  <si>
    <t>GENDER</t>
  </si>
  <si>
    <t>MALE</t>
  </si>
  <si>
    <t>FEMALE</t>
  </si>
  <si>
    <t>P(A)</t>
  </si>
  <si>
    <t>P(B)</t>
  </si>
  <si>
    <t>P(A∪B)=P(A)+P(B)−P(A∩B)</t>
  </si>
  <si>
    <t>VALUE</t>
  </si>
  <si>
    <t>NO</t>
  </si>
  <si>
    <t>YES</t>
  </si>
  <si>
    <t>P(YES)</t>
  </si>
  <si>
    <t>P(NO)</t>
  </si>
  <si>
    <t>TOSS</t>
  </si>
  <si>
    <t>DIE</t>
  </si>
  <si>
    <t>TAIL</t>
  </si>
  <si>
    <t>P(A∩B)=P(A)*P(B)</t>
  </si>
  <si>
    <t>COUNT ROLLS&lt;=3</t>
  </si>
  <si>
    <t>CALCULATE CUMMULATIVE PROBABILITY</t>
  </si>
  <si>
    <t>Student ID</t>
  </si>
  <si>
    <t>Marks</t>
  </si>
  <si>
    <t>MARKS&gt;75</t>
  </si>
  <si>
    <t>MARKS&gt;85</t>
  </si>
  <si>
    <t>COUNT OF MARKS&gt;75</t>
  </si>
  <si>
    <t>COUNT OF MARKS&gt;85</t>
  </si>
  <si>
    <t>COUNT OF MARKS&gt;90</t>
  </si>
  <si>
    <t>MARKS&gt;90</t>
  </si>
  <si>
    <t xml:space="preserve">CUMMULATIVE PROBABILITY USING </t>
  </si>
  <si>
    <t>UNIFORM DISTRIBUTION</t>
  </si>
  <si>
    <t>2.CONTINOUS UNIFORM</t>
  </si>
  <si>
    <t>1.DISCREETE UNIFORM</t>
  </si>
  <si>
    <t>3.BINOMIAL UNIFORM</t>
  </si>
  <si>
    <t>4.POISONN DISTRIBUTION</t>
  </si>
  <si>
    <t>Hour</t>
  </si>
  <si>
    <t>Customers</t>
  </si>
  <si>
    <t>POISONN DISTRIBUTION</t>
  </si>
  <si>
    <t>TOTAL</t>
  </si>
  <si>
    <t>Family</t>
  </si>
  <si>
    <t>Children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</si>
  <si>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</si>
  <si>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</si>
  <si>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</si>
  <si>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</si>
  <si>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</si>
  <si>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</si>
  <si>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</si>
  <si>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</si>
  <si>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</si>
  <si>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</si>
  <si>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Student</t>
  </si>
  <si>
    <t>Height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</si>
  <si>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</si>
  <si>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</si>
  <si>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</si>
  <si>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</si>
  <si>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</si>
  <si>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</si>
  <si>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</si>
  <si>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</si>
  <si>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</si>
  <si>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</si>
  <si>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DISCREETE UNIFORM</t>
  </si>
  <si>
    <t>BINOMINAL DISTRIBUITION</t>
  </si>
  <si>
    <t>Experiment</t>
  </si>
  <si>
    <t>Number of Heads</t>
  </si>
  <si>
    <t xml:space="preserve">CONTINOUS </t>
  </si>
  <si>
    <t>NORMAL DISTRIBUTION</t>
  </si>
  <si>
    <t>Height (cm)</t>
  </si>
  <si>
    <t>NORMAL DISTIBUTION</t>
  </si>
  <si>
    <t xml:space="preserve">  </t>
  </si>
  <si>
    <t>COVARIANCE</t>
  </si>
  <si>
    <t>Weight (kg)</t>
  </si>
  <si>
    <t>COV-P</t>
  </si>
  <si>
    <t>COV-S</t>
  </si>
  <si>
    <t xml:space="preserve"> (X)</t>
  </si>
  <si>
    <t xml:space="preserve"> (Y)</t>
  </si>
  <si>
    <t>XI-(X)</t>
  </si>
  <si>
    <t>YI-(Y)</t>
  </si>
  <si>
    <t>DAY</t>
  </si>
  <si>
    <t>STOCK1</t>
  </si>
  <si>
    <t>STOCK2</t>
  </si>
  <si>
    <t xml:space="preserve">                                                                                                                                                                                            </t>
  </si>
  <si>
    <t>CORRELATION</t>
  </si>
  <si>
    <t>VAR(X)</t>
  </si>
  <si>
    <t>VAR(Y)</t>
  </si>
  <si>
    <t>COV(X,Y)</t>
  </si>
  <si>
    <t>BULITIN FUN CORREL</t>
  </si>
  <si>
    <t>BY MATH FORMULA</t>
  </si>
  <si>
    <t>EX:</t>
  </si>
  <si>
    <t>HYPOTHESEIS</t>
  </si>
  <si>
    <t>Math Score</t>
  </si>
  <si>
    <t>TYPES OF TESTS</t>
  </si>
  <si>
    <t>1.T-TEST</t>
  </si>
  <si>
    <t>2.Z-TEST</t>
  </si>
  <si>
    <t>T-TEST</t>
  </si>
  <si>
    <t>Gender</t>
  </si>
  <si>
    <t>Before_Training</t>
  </si>
  <si>
    <t>After_Training</t>
  </si>
  <si>
    <t>Section</t>
  </si>
  <si>
    <t>M</t>
  </si>
  <si>
    <t>A</t>
  </si>
  <si>
    <t>F</t>
  </si>
  <si>
    <t>B</t>
  </si>
  <si>
    <t>C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</si>
  <si>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</si>
  <si>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</si>
  <si>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</si>
  <si>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</si>
  <si>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</si>
  <si>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</si>
  <si>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</si>
  <si>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</si>
  <si>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</si>
  <si>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</si>
  <si>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Gender_Dummy</t>
  </si>
  <si>
    <t>t-Test: Paired Two Sample for Means</t>
  </si>
  <si>
    <t>Pearson Correlation</t>
  </si>
  <si>
    <t>Z-TEST</t>
  </si>
  <si>
    <t>Z-TEST DATASET</t>
  </si>
  <si>
    <t>AGE_MALES</t>
  </si>
  <si>
    <t>AGE_FEMALES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</si>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</sst>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horizontal="center"/>
    </xf>
    <xf numFmtId="0" fontId="2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/>
    </xf>
    <xf numFmtId="0" fontId="0" fillId="0" borderId="14" xfId="0" applyBorder="1"/>
    <xf numFmtId="0" fontId="2" fillId="0" borderId="15" xfId="0" applyFont="1" applyBorder="1" applyAlignment="1">
      <alignment vertical="center" wrapText="1"/>
    </xf>
    <xf numFmtId="0" fontId="0" fillId="0" borderId="10" xfId="0" applyBorder="1"/>
    <xf numFmtId="0" fontId="0" fillId="0" borderId="12" xfId="0" applyBorder="1"/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0" fillId="0" borderId="2" xfId="0" applyBorder="1" applyAlignment="1">
      <alignment horizontal="center"/>
    </xf>
    <xf numFmtId="0" fontId="1" fillId="0" borderId="1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19" xfId="0" applyBorder="1"/>
    <xf numFmtId="0" fontId="0" fillId="0" borderId="20" xfId="0" applyBorder="1"/>
    <xf numFmtId="0" fontId="6" fillId="0" borderId="0" xfId="0" applyFont="1"/>
    <xf numFmtId="0" fontId="5" fillId="0" borderId="1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0" xfId="0" applyAlignment="1">
      <alignment vertical="center" wrapText="1"/>
    </xf>
    <xf numFmtId="2" fontId="0" fillId="0" borderId="0" xfId="0" applyNumberFormat="1"/>
    <xf numFmtId="0" fontId="1" fillId="0" borderId="3" xfId="0" applyFont="1" applyBorder="1"/>
    <xf numFmtId="0" fontId="1" fillId="0" borderId="4" xfId="0" applyFont="1" applyBorder="1"/>
    <xf numFmtId="0" fontId="1" fillId="0" borderId="16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0" fillId="0" borderId="21" xfId="0" applyBorder="1"/>
    <xf numFmtId="0" fontId="0" fillId="0" borderId="0" xfId="0" applyBorder="1"/>
    <xf numFmtId="0" fontId="8" fillId="0" borderId="1" xfId="0" applyFont="1" applyBorder="1"/>
    <xf numFmtId="0" fontId="0" fillId="0" borderId="0" xfId="0" applyBorder="1" applyAlignment="1">
      <alignment vertical="center" wrapText="1"/>
    </xf>
    <xf numFmtId="0" fontId="8" fillId="0" borderId="0" xfId="0" applyFont="1" applyBorder="1"/>
    <xf numFmtId="0" fontId="0" fillId="0" borderId="21" xfId="0" applyBorder="1" applyAlignment="1">
      <alignment vertical="center" wrapText="1"/>
    </xf>
    <xf numFmtId="0" fontId="3" fillId="0" borderId="0" xfId="0" applyFont="1" applyBorder="1"/>
    <xf numFmtId="0" fontId="3" fillId="0" borderId="1" xfId="0" applyFont="1" applyBorder="1"/>
    <xf numFmtId="0" fontId="7" fillId="0" borderId="1" xfId="0" applyFont="1" applyBorder="1"/>
    <xf numFmtId="0" fontId="0" fillId="0" borderId="0" xfId="0" applyFont="1"/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12" xfId="0" applyFont="1" applyBorder="1"/>
    <xf numFmtId="0" fontId="0" fillId="0" borderId="0" xfId="0" applyFont="1" applyBorder="1"/>
    <xf numFmtId="0" fontId="0" fillId="0" borderId="14" xfId="0" applyFont="1" applyBorder="1"/>
    <xf numFmtId="0" fontId="1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vertical="center" wrapText="1"/>
    </xf>
    <xf numFmtId="0" fontId="9" fillId="0" borderId="1" xfId="0" applyFont="1" applyBorder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0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46D0-AB4E-49B8-A6EE-42C7A936D47B}">
  <dimension ref="A1:AC237"/>
  <sheetViews>
    <sheetView zoomScaleNormal="100" workbookViewId="0">
      <selection activeCell="M28" sqref="M28"/>
    </sheetView>
  </sheetViews>
  <sheetFormatPr defaultRowHeight="15" x14ac:dyDescent="0.25"/>
  <cols>
    <col min="1" max="1" width="23.140625" customWidth="1"/>
    <col min="2" max="2" width="37" customWidth="1"/>
    <col min="3" max="3" width="27.5703125" customWidth="1"/>
    <col min="4" max="4" width="2.7109375" customWidth="1"/>
    <col min="5" max="5" width="21.85546875" customWidth="1"/>
    <col min="6" max="6" width="28.42578125" customWidth="1"/>
    <col min="7" max="7" width="1.5703125" customWidth="1"/>
    <col min="8" max="8" width="19.42578125" customWidth="1"/>
    <col min="9" max="9" width="16.42578125" customWidth="1"/>
    <col min="10" max="10" width="23.140625" customWidth="1"/>
    <col min="11" max="11" width="2.140625" customWidth="1"/>
    <col min="12" max="12" width="16.28515625" customWidth="1"/>
    <col min="13" max="13" width="17.7109375" customWidth="1"/>
    <col min="14" max="14" width="14.140625" customWidth="1"/>
    <col min="17" max="17" width="9.28515625" customWidth="1"/>
    <col min="18" max="18" width="8.140625" customWidth="1"/>
    <col min="22" max="22" width="11.85546875" customWidth="1"/>
    <col min="23" max="23" width="14.42578125" customWidth="1"/>
    <col min="24" max="24" width="10.140625" customWidth="1"/>
    <col min="27" max="27" width="18.7109375" customWidth="1"/>
    <col min="28" max="28" width="19.140625" customWidth="1"/>
  </cols>
  <sheetData>
    <row r="1" spans="1:28" ht="21.75" thickBot="1" x14ac:dyDescent="0.4">
      <c r="A1" s="23" t="s">
        <v>0</v>
      </c>
      <c r="B1" s="23" t="s">
        <v>1</v>
      </c>
      <c r="C1" s="23" t="s">
        <v>2</v>
      </c>
      <c r="E1" s="20" t="s">
        <v>38</v>
      </c>
      <c r="F1" s="37" t="s">
        <v>39</v>
      </c>
      <c r="G1" s="2"/>
      <c r="H1" s="5"/>
      <c r="I1" s="34" t="s">
        <v>48</v>
      </c>
      <c r="J1" s="5"/>
      <c r="L1" s="27"/>
      <c r="M1" s="35" t="s">
        <v>49</v>
      </c>
      <c r="N1" s="6"/>
    </row>
    <row r="2" spans="1:28" ht="15.75" thickBot="1" x14ac:dyDescent="0.3">
      <c r="A2" s="24">
        <v>101</v>
      </c>
      <c r="B2" s="24" t="s">
        <v>3</v>
      </c>
      <c r="C2" s="24" t="s">
        <v>4</v>
      </c>
      <c r="E2" s="36">
        <v>4.4337290101798765E-2</v>
      </c>
      <c r="F2" s="2" t="s">
        <v>40</v>
      </c>
      <c r="G2" s="2"/>
      <c r="H2" s="2"/>
      <c r="I2" s="2"/>
      <c r="J2" s="2" t="s">
        <v>41</v>
      </c>
      <c r="K2" s="2"/>
      <c r="L2" s="7" t="s">
        <v>38</v>
      </c>
      <c r="M2" s="2" t="s">
        <v>42</v>
      </c>
      <c r="V2" t="s">
        <v>151</v>
      </c>
    </row>
    <row r="3" spans="1:28" ht="19.5" customHeight="1" x14ac:dyDescent="0.25">
      <c r="A3" s="24">
        <v>102</v>
      </c>
      <c r="B3" s="24" t="s">
        <v>5</v>
      </c>
      <c r="C3" s="24" t="s">
        <v>4</v>
      </c>
      <c r="E3" s="21">
        <v>0.11966286649576285</v>
      </c>
      <c r="F3" s="25" t="str">
        <f t="shared" ref="F3:F31" si="0">IF(MOD(A4-4,10)=0,"SELECTED","NOT SELECTED")</f>
        <v>NOT SELECTED</v>
      </c>
      <c r="H3" s="10"/>
      <c r="I3" s="11"/>
      <c r="J3" s="12"/>
      <c r="K3" s="1"/>
      <c r="L3" s="8">
        <v>0.73519659461536979</v>
      </c>
      <c r="M3" s="18">
        <f t="shared" ref="M3:M32" si="1">INT(A2-1)/6+1</f>
        <v>17.666666666666668</v>
      </c>
      <c r="U3" s="58" t="s">
        <v>118</v>
      </c>
      <c r="V3" s="58"/>
      <c r="W3" s="58"/>
      <c r="X3" s="4" t="s">
        <v>154</v>
      </c>
      <c r="Y3" s="4" t="s">
        <v>152</v>
      </c>
      <c r="Z3" s="4" t="s">
        <v>153</v>
      </c>
      <c r="AA3" s="4" t="s">
        <v>156</v>
      </c>
      <c r="AB3" s="4" t="s">
        <v>155</v>
      </c>
    </row>
    <row r="4" spans="1:28" x14ac:dyDescent="0.25">
      <c r="A4" s="24">
        <v>103</v>
      </c>
      <c r="B4" s="24" t="s">
        <v>7</v>
      </c>
      <c r="C4" s="24" t="s">
        <v>4</v>
      </c>
      <c r="E4" s="21">
        <v>0.14074533346101803</v>
      </c>
      <c r="F4" s="25" t="str">
        <f t="shared" si="0"/>
        <v>SELECTED</v>
      </c>
      <c r="H4" s="13" t="s">
        <v>43</v>
      </c>
      <c r="I4">
        <f>COUNTIF(C20:C25,"ARTS")</f>
        <v>6</v>
      </c>
      <c r="J4" s="14">
        <f>6/30*10</f>
        <v>2</v>
      </c>
      <c r="K4" s="1"/>
      <c r="L4" s="8">
        <v>0.10685402128689248</v>
      </c>
      <c r="M4" s="19">
        <f t="shared" si="1"/>
        <v>17.833333333333332</v>
      </c>
      <c r="P4" t="e">
        <f>_xlfn.STDEV.S(O4:O13)</f>
        <v>#DIV/0!</v>
      </c>
      <c r="U4" s="58"/>
      <c r="V4" s="58"/>
      <c r="W4" s="58"/>
      <c r="X4" s="4" t="e">
        <f>COVAR(V4:V13,W4:W13)</f>
        <v>#DIV/0!</v>
      </c>
      <c r="Y4" s="4" t="e">
        <f>VAR(V4:V13)</f>
        <v>#DIV/0!</v>
      </c>
      <c r="Z4" s="4" t="e">
        <f>VAR(W4:W13)</f>
        <v>#DIV/0!</v>
      </c>
      <c r="AA4" s="4" t="e">
        <f>_xlfn.COVARIANCE.S(V4:V13,W4:W13)/(_xlfn.STDEV.S(V4:V13)*_xlfn.STDEV.S(W4:W13))</f>
        <v>#DIV/0!</v>
      </c>
      <c r="AB4" s="66" t="e">
        <f>CORREL(V4:V13,W4:W13)</f>
        <v>#DIV/0!</v>
      </c>
    </row>
    <row r="5" spans="1:28" x14ac:dyDescent="0.25">
      <c r="A5" s="24">
        <v>104</v>
      </c>
      <c r="B5" s="24" t="s">
        <v>9</v>
      </c>
      <c r="C5" s="24" t="s">
        <v>4</v>
      </c>
      <c r="E5" s="21">
        <v>0.24172856704147894</v>
      </c>
      <c r="F5" s="25" t="str">
        <f t="shared" si="0"/>
        <v>NOT SELECTED</v>
      </c>
      <c r="H5" s="13" t="s">
        <v>44</v>
      </c>
      <c r="I5">
        <f>COUNTIF(C2:C11,"ENGINEERING")</f>
        <v>10</v>
      </c>
      <c r="J5" s="14">
        <f>10/30*10</f>
        <v>3.333333333333333</v>
      </c>
      <c r="K5" s="1"/>
      <c r="L5" s="8">
        <v>0.57864293112994092</v>
      </c>
      <c r="M5" s="19">
        <f t="shared" si="1"/>
        <v>18</v>
      </c>
      <c r="U5" s="58"/>
      <c r="V5" s="58"/>
      <c r="W5" s="58"/>
      <c r="X5" s="4"/>
      <c r="Y5" s="4"/>
      <c r="Z5" s="4"/>
      <c r="AB5" s="4"/>
    </row>
    <row r="6" spans="1:28" x14ac:dyDescent="0.25">
      <c r="A6" s="24">
        <v>105</v>
      </c>
      <c r="B6" s="24" t="s">
        <v>11</v>
      </c>
      <c r="C6" s="24" t="s">
        <v>4</v>
      </c>
      <c r="E6" s="21">
        <v>0.27532774599276177</v>
      </c>
      <c r="F6" s="25" t="str">
        <f t="shared" si="0"/>
        <v>NOT SELECTED</v>
      </c>
      <c r="H6" s="13" t="s">
        <v>45</v>
      </c>
      <c r="I6">
        <f>COUNTIF(C12:C19,"SCIENCE")</f>
        <v>8</v>
      </c>
      <c r="J6" s="14">
        <f>8/30*30</f>
        <v>8</v>
      </c>
      <c r="K6" s="1"/>
      <c r="L6" s="8">
        <v>0.2624389097210682</v>
      </c>
      <c r="M6" s="19">
        <f t="shared" si="1"/>
        <v>18.166666666666668</v>
      </c>
      <c r="U6" s="58"/>
      <c r="V6" s="58"/>
      <c r="W6" s="58"/>
      <c r="X6" s="4"/>
      <c r="Y6" s="4"/>
      <c r="Z6" s="4"/>
      <c r="AA6" s="4"/>
      <c r="AB6" s="4"/>
    </row>
    <row r="7" spans="1:28" x14ac:dyDescent="0.25">
      <c r="A7" s="24">
        <v>106</v>
      </c>
      <c r="B7" s="24" t="s">
        <v>13</v>
      </c>
      <c r="C7" s="24" t="s">
        <v>4</v>
      </c>
      <c r="E7" s="21">
        <v>0.30670573061637874</v>
      </c>
      <c r="F7" s="25" t="str">
        <f t="shared" si="0"/>
        <v>NOT SELECTED</v>
      </c>
      <c r="H7" s="13" t="s">
        <v>46</v>
      </c>
      <c r="I7">
        <f>COUNTIF(C26:C29,"COMMERCE")</f>
        <v>4</v>
      </c>
      <c r="J7" s="14">
        <f>4/30*2</f>
        <v>0.26666666666666666</v>
      </c>
      <c r="K7" s="1"/>
      <c r="L7" s="8">
        <v>0.96589811658663516</v>
      </c>
      <c r="M7" s="19">
        <f t="shared" si="1"/>
        <v>18.333333333333332</v>
      </c>
      <c r="U7" s="58"/>
      <c r="V7" s="58"/>
      <c r="W7" s="58"/>
      <c r="X7" s="4"/>
      <c r="Y7" s="4"/>
      <c r="Z7" s="4"/>
      <c r="AA7" s="4"/>
      <c r="AB7" s="4"/>
    </row>
    <row r="8" spans="1:28" ht="15.75" thickBot="1" x14ac:dyDescent="0.3">
      <c r="A8" s="24">
        <v>107</v>
      </c>
      <c r="B8" s="24" t="s">
        <v>14</v>
      </c>
      <c r="C8" s="24" t="s">
        <v>4</v>
      </c>
      <c r="E8" s="21">
        <v>0.3295975924641229</v>
      </c>
      <c r="F8" s="25" t="str">
        <f t="shared" si="0"/>
        <v>NOT SELECTED</v>
      </c>
      <c r="H8" s="15" t="s">
        <v>47</v>
      </c>
      <c r="I8" s="16">
        <f>COUNTIF(C30:C31,"MANAGEMENT")</f>
        <v>2</v>
      </c>
      <c r="J8" s="17">
        <f>2/30*80</f>
        <v>5.333333333333333</v>
      </c>
      <c r="K8" s="1"/>
      <c r="L8" s="8">
        <v>7.9365414188944272E-2</v>
      </c>
      <c r="M8" s="19">
        <f t="shared" si="1"/>
        <v>18.5</v>
      </c>
      <c r="U8" s="58"/>
      <c r="V8" s="58"/>
      <c r="W8" s="58"/>
      <c r="X8" s="4"/>
      <c r="Z8" s="4"/>
      <c r="AA8" s="4"/>
      <c r="AB8" s="4"/>
    </row>
    <row r="9" spans="1:28" x14ac:dyDescent="0.25">
      <c r="A9" s="24">
        <v>108</v>
      </c>
      <c r="B9" s="24" t="s">
        <v>15</v>
      </c>
      <c r="C9" s="24" t="s">
        <v>4</v>
      </c>
      <c r="E9" s="21">
        <v>0.3443062342214106</v>
      </c>
      <c r="F9" s="25" t="str">
        <f t="shared" si="0"/>
        <v>NOT SELECTED</v>
      </c>
      <c r="J9" s="1"/>
      <c r="K9" s="1"/>
      <c r="L9" s="8">
        <v>0.33417632867822422</v>
      </c>
      <c r="M9" s="19">
        <f t="shared" si="1"/>
        <v>18.666666666666668</v>
      </c>
      <c r="U9" s="58"/>
      <c r="V9" s="58"/>
      <c r="W9" s="58"/>
      <c r="X9" s="4"/>
      <c r="Y9" s="4"/>
      <c r="Z9" s="4"/>
      <c r="AA9" s="4"/>
      <c r="AB9" s="4"/>
    </row>
    <row r="10" spans="1:28" x14ac:dyDescent="0.25">
      <c r="A10" s="24">
        <v>109</v>
      </c>
      <c r="B10" s="24" t="s">
        <v>16</v>
      </c>
      <c r="C10" s="24" t="s">
        <v>4</v>
      </c>
      <c r="E10" s="21">
        <v>0.36370425947650831</v>
      </c>
      <c r="F10" s="25" t="str">
        <f t="shared" si="0"/>
        <v>NOT SELECTED</v>
      </c>
      <c r="J10" s="1"/>
      <c r="K10" s="1"/>
      <c r="L10" s="8">
        <v>0.83609833678616086</v>
      </c>
      <c r="M10" s="19">
        <f t="shared" si="1"/>
        <v>18.833333333333332</v>
      </c>
      <c r="U10" s="58"/>
      <c r="V10" s="58"/>
      <c r="W10" s="58"/>
      <c r="X10" s="4"/>
      <c r="Y10" s="4"/>
      <c r="Z10" s="4"/>
      <c r="AA10" s="4"/>
      <c r="AB10" s="4"/>
    </row>
    <row r="11" spans="1:28" x14ac:dyDescent="0.25">
      <c r="A11" s="24">
        <v>110</v>
      </c>
      <c r="B11" s="24" t="s">
        <v>17</v>
      </c>
      <c r="C11" s="24" t="s">
        <v>4</v>
      </c>
      <c r="E11" s="21">
        <v>0.40582967059763453</v>
      </c>
      <c r="F11" s="25" t="str">
        <f t="shared" si="0"/>
        <v>NOT SELECTED</v>
      </c>
      <c r="J11" s="1"/>
      <c r="K11" s="1"/>
      <c r="L11" s="8">
        <v>0.58301380852998297</v>
      </c>
      <c r="M11" s="19">
        <f t="shared" si="1"/>
        <v>19</v>
      </c>
      <c r="U11" s="58"/>
      <c r="V11" s="58"/>
      <c r="W11" s="58"/>
      <c r="X11" s="4"/>
      <c r="Y11" s="4"/>
      <c r="Z11" s="4"/>
      <c r="AA11" s="4"/>
      <c r="AB11" s="4"/>
    </row>
    <row r="12" spans="1:28" x14ac:dyDescent="0.25">
      <c r="A12" s="24">
        <v>111</v>
      </c>
      <c r="B12" s="24" t="s">
        <v>18</v>
      </c>
      <c r="C12" s="24" t="s">
        <v>6</v>
      </c>
      <c r="E12" s="21">
        <v>0.42229552894975098</v>
      </c>
      <c r="F12" s="25" t="str">
        <f t="shared" si="0"/>
        <v>NOT SELECTED</v>
      </c>
      <c r="I12" s="3"/>
      <c r="J12" s="1"/>
      <c r="K12" s="1"/>
      <c r="L12" s="8">
        <v>0.39135107906091904</v>
      </c>
      <c r="M12" s="19">
        <f t="shared" si="1"/>
        <v>19.166666666666668</v>
      </c>
      <c r="U12" s="58"/>
      <c r="V12" s="58"/>
      <c r="W12" s="58"/>
      <c r="X12" s="4"/>
      <c r="Y12" s="4"/>
      <c r="Z12" s="4"/>
      <c r="AA12" s="4"/>
      <c r="AB12" s="4"/>
    </row>
    <row r="13" spans="1:28" x14ac:dyDescent="0.25">
      <c r="A13" s="24">
        <v>112</v>
      </c>
      <c r="B13" s="24" t="s">
        <v>19</v>
      </c>
      <c r="C13" s="24" t="s">
        <v>6</v>
      </c>
      <c r="E13" s="21">
        <v>0.42855327919382757</v>
      </c>
      <c r="F13" s="25" t="str">
        <f t="shared" si="0"/>
        <v>NOT SELECTED</v>
      </c>
      <c r="J13" s="1"/>
      <c r="K13" s="1"/>
      <c r="L13" s="8">
        <v>0.31019170711305999</v>
      </c>
      <c r="M13" s="19">
        <f t="shared" si="1"/>
        <v>19.333333333333332</v>
      </c>
      <c r="U13" s="58"/>
      <c r="V13" s="58"/>
      <c r="W13" s="58"/>
      <c r="X13" s="4"/>
      <c r="Y13" s="4"/>
      <c r="Z13" s="4"/>
      <c r="AA13" s="4" t="e">
        <f>(SQRT(Y4)*SQRT(Z4))</f>
        <v>#DIV/0!</v>
      </c>
      <c r="AB13" s="4"/>
    </row>
    <row r="14" spans="1:28" x14ac:dyDescent="0.25">
      <c r="A14" s="24">
        <v>113</v>
      </c>
      <c r="B14" s="24" t="s">
        <v>20</v>
      </c>
      <c r="C14" s="24" t="s">
        <v>6</v>
      </c>
      <c r="E14" s="21">
        <v>0.44478054229746455</v>
      </c>
      <c r="F14" s="25" t="str">
        <f t="shared" si="0"/>
        <v>SELECTED</v>
      </c>
      <c r="J14" s="1"/>
      <c r="K14" s="1"/>
      <c r="L14" s="8">
        <v>0.66302317345486994</v>
      </c>
      <c r="M14" s="19">
        <f t="shared" si="1"/>
        <v>19.5</v>
      </c>
    </row>
    <row r="15" spans="1:28" x14ac:dyDescent="0.25">
      <c r="A15" s="24">
        <v>114</v>
      </c>
      <c r="B15" s="24" t="s">
        <v>21</v>
      </c>
      <c r="C15" s="24" t="s">
        <v>6</v>
      </c>
      <c r="E15" s="21">
        <v>0.44758176554036888</v>
      </c>
      <c r="F15" s="25" t="str">
        <f t="shared" si="0"/>
        <v>NOT SELECTED</v>
      </c>
      <c r="J15" s="1"/>
      <c r="K15" s="1"/>
      <c r="L15" s="8">
        <v>0.26864248445332328</v>
      </c>
      <c r="M15" s="19">
        <f t="shared" si="1"/>
        <v>19.666666666666668</v>
      </c>
    </row>
    <row r="16" spans="1:28" x14ac:dyDescent="0.25">
      <c r="A16" s="24">
        <v>115</v>
      </c>
      <c r="B16" s="24" t="s">
        <v>22</v>
      </c>
      <c r="C16" s="24" t="s">
        <v>6</v>
      </c>
      <c r="E16" s="21">
        <v>0.45236065516779378</v>
      </c>
      <c r="F16" s="25" t="str">
        <f t="shared" si="0"/>
        <v>NOT SELECTED</v>
      </c>
      <c r="J16" s="1"/>
      <c r="K16" s="1"/>
      <c r="L16" s="8">
        <v>0.31758651941786153</v>
      </c>
      <c r="M16" s="61">
        <f t="shared" si="1"/>
        <v>19.833333333333332</v>
      </c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1:29" x14ac:dyDescent="0.25">
      <c r="A17" s="24">
        <v>116</v>
      </c>
      <c r="B17" s="24" t="s">
        <v>23</v>
      </c>
      <c r="C17" s="24" t="s">
        <v>6</v>
      </c>
      <c r="E17" s="21">
        <v>0.48529670760959076</v>
      </c>
      <c r="F17" s="25" t="str">
        <f t="shared" si="0"/>
        <v>NOT SELECTED</v>
      </c>
      <c r="J17" s="1"/>
      <c r="K17" s="1"/>
      <c r="L17" s="8">
        <v>0.24291555953298816</v>
      </c>
      <c r="M17" s="61">
        <f t="shared" si="1"/>
        <v>20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Z17" t="s">
        <v>158</v>
      </c>
    </row>
    <row r="18" spans="1:29" x14ac:dyDescent="0.25">
      <c r="A18" s="24">
        <v>117</v>
      </c>
      <c r="B18" s="24" t="s">
        <v>24</v>
      </c>
      <c r="C18" s="24" t="s">
        <v>6</v>
      </c>
      <c r="E18" s="21">
        <v>0.53468212042711905</v>
      </c>
      <c r="F18" s="25" t="str">
        <f t="shared" si="0"/>
        <v>NOT SELECTED</v>
      </c>
      <c r="J18" s="1"/>
      <c r="K18" s="1"/>
      <c r="L18" s="8">
        <v>0.62463272457674501</v>
      </c>
      <c r="M18" s="61">
        <f t="shared" si="1"/>
        <v>20.166666666666668</v>
      </c>
      <c r="N18" s="58" t="s">
        <v>118</v>
      </c>
      <c r="O18" s="58"/>
      <c r="P18" s="58"/>
      <c r="Q18" s="58"/>
      <c r="R18" s="58"/>
      <c r="S18" s="58"/>
      <c r="T18" s="58"/>
      <c r="U18" s="58"/>
      <c r="V18" s="58"/>
      <c r="W18" s="58"/>
      <c r="Y18" s="47"/>
      <c r="Z18" s="47" t="s">
        <v>118</v>
      </c>
      <c r="AA18" s="47" t="s">
        <v>159</v>
      </c>
      <c r="AB18" s="47"/>
      <c r="AC18" s="47"/>
    </row>
    <row r="19" spans="1:29" x14ac:dyDescent="0.25">
      <c r="A19" s="24">
        <v>118</v>
      </c>
      <c r="B19" s="24" t="s">
        <v>25</v>
      </c>
      <c r="C19" s="24" t="s">
        <v>6</v>
      </c>
      <c r="E19" s="21">
        <v>0.5901000251919104</v>
      </c>
      <c r="F19" s="25" t="str">
        <f t="shared" si="0"/>
        <v>NOT SELECTED</v>
      </c>
      <c r="J19" s="1"/>
      <c r="K19" s="1"/>
      <c r="L19" s="8">
        <f>_xlfn.BINOM.DIST(K19,5,0.5,FALSE)</f>
        <v>3.125E-2</v>
      </c>
      <c r="M19" s="61">
        <f t="shared" si="1"/>
        <v>20.333333333333332</v>
      </c>
      <c r="N19" s="58"/>
      <c r="O19" s="58"/>
      <c r="P19" s="58"/>
      <c r="Q19" s="58"/>
      <c r="R19" s="58"/>
      <c r="S19" s="58"/>
      <c r="T19" s="58"/>
      <c r="U19" s="58"/>
      <c r="V19" s="58"/>
      <c r="W19" s="58"/>
      <c r="Y19" s="38"/>
      <c r="Z19" s="38">
        <v>1</v>
      </c>
      <c r="AA19" s="38">
        <v>78</v>
      </c>
      <c r="AB19" s="38"/>
      <c r="AC19" s="38"/>
    </row>
    <row r="20" spans="1:29" x14ac:dyDescent="0.25">
      <c r="A20" s="24">
        <v>119</v>
      </c>
      <c r="B20" s="24" t="s">
        <v>26</v>
      </c>
      <c r="C20" s="24" t="s">
        <v>8</v>
      </c>
      <c r="E20" s="21">
        <v>0.62848414156839438</v>
      </c>
      <c r="F20" s="25" t="str">
        <f t="shared" si="0"/>
        <v>NOT SELECTED</v>
      </c>
      <c r="J20" s="1"/>
      <c r="K20" s="1"/>
      <c r="L20" s="8">
        <v>0.99457926342999015</v>
      </c>
      <c r="M20" s="61">
        <f t="shared" si="1"/>
        <v>20.5</v>
      </c>
      <c r="N20" s="58"/>
      <c r="O20" s="58"/>
      <c r="P20" s="58"/>
      <c r="Q20" s="58"/>
      <c r="R20" s="58"/>
      <c r="S20" s="58"/>
      <c r="T20" s="58"/>
      <c r="U20" s="58"/>
      <c r="V20" s="58"/>
      <c r="W20" s="58"/>
      <c r="Y20" s="38"/>
      <c r="Z20" s="38">
        <v>2</v>
      </c>
      <c r="AA20" s="38">
        <v>82</v>
      </c>
      <c r="AB20" s="38"/>
      <c r="AC20" s="38"/>
    </row>
    <row r="21" spans="1:29" x14ac:dyDescent="0.25">
      <c r="A21" s="24">
        <v>120</v>
      </c>
      <c r="B21" s="24" t="s">
        <v>27</v>
      </c>
      <c r="C21" s="24" t="s">
        <v>8</v>
      </c>
      <c r="E21" s="21">
        <v>0.63141531192809208</v>
      </c>
      <c r="F21" s="25" t="str">
        <f t="shared" si="0"/>
        <v>NOT SELECTED</v>
      </c>
      <c r="J21" s="1"/>
      <c r="K21" s="1"/>
      <c r="L21" s="8">
        <v>0.10041338976356906</v>
      </c>
      <c r="M21" s="61">
        <f t="shared" si="1"/>
        <v>20.666666666666668</v>
      </c>
      <c r="N21" s="58"/>
      <c r="O21" s="58"/>
      <c r="P21" s="58"/>
      <c r="Q21" s="58"/>
      <c r="R21" s="58"/>
      <c r="S21" s="58"/>
      <c r="T21" s="58"/>
      <c r="U21" s="58"/>
      <c r="V21" s="58"/>
      <c r="W21" s="58"/>
      <c r="Y21" s="38"/>
      <c r="Z21" s="38">
        <v>3</v>
      </c>
      <c r="AA21" s="38">
        <v>85</v>
      </c>
      <c r="AB21" s="38"/>
      <c r="AC21" s="38"/>
    </row>
    <row r="22" spans="1:29" x14ac:dyDescent="0.25">
      <c r="A22" s="24">
        <v>121</v>
      </c>
      <c r="B22" s="24" t="s">
        <v>28</v>
      </c>
      <c r="C22" s="24" t="s">
        <v>8</v>
      </c>
      <c r="E22" s="21">
        <v>0.65477418366842555</v>
      </c>
      <c r="F22" s="25" t="str">
        <f t="shared" si="0"/>
        <v>NOT SELECTED</v>
      </c>
      <c r="J22" s="1"/>
      <c r="K22" s="1"/>
      <c r="L22" s="8">
        <v>0.28574829943862867</v>
      </c>
      <c r="M22" s="61">
        <f t="shared" si="1"/>
        <v>20.833333333333332</v>
      </c>
      <c r="N22" s="58"/>
      <c r="O22" s="58"/>
      <c r="P22" s="58"/>
      <c r="Q22" s="58"/>
      <c r="R22" s="58"/>
      <c r="S22" s="58"/>
      <c r="T22" s="58"/>
      <c r="U22" s="58"/>
      <c r="V22" s="58"/>
      <c r="W22" s="58"/>
      <c r="Y22" s="38"/>
      <c r="Z22" s="38">
        <v>4</v>
      </c>
      <c r="AA22" s="38">
        <v>79</v>
      </c>
      <c r="AB22" s="38"/>
      <c r="AC22" s="38"/>
    </row>
    <row r="23" spans="1:29" x14ac:dyDescent="0.25">
      <c r="A23" s="24">
        <v>122</v>
      </c>
      <c r="B23" s="24" t="s">
        <v>29</v>
      </c>
      <c r="C23" s="24" t="s">
        <v>8</v>
      </c>
      <c r="E23" s="21">
        <v>0.75175579355854216</v>
      </c>
      <c r="F23" s="25" t="str">
        <f t="shared" si="0"/>
        <v>NOT SELECTED</v>
      </c>
      <c r="J23" s="1"/>
      <c r="K23" s="1"/>
      <c r="L23" s="8">
        <v>0.80592394123305611</v>
      </c>
      <c r="M23" s="61">
        <f t="shared" si="1"/>
        <v>21</v>
      </c>
      <c r="N23" s="58"/>
      <c r="O23" s="58"/>
      <c r="P23" s="58"/>
      <c r="Q23" s="58"/>
      <c r="R23" s="58"/>
      <c r="S23" s="58"/>
      <c r="T23" s="58"/>
      <c r="U23" s="58"/>
      <c r="V23" s="58"/>
      <c r="W23" s="58"/>
      <c r="Y23" s="38"/>
      <c r="Z23" s="38">
        <v>5</v>
      </c>
      <c r="AA23" s="38">
        <v>81</v>
      </c>
      <c r="AB23" s="38"/>
      <c r="AC23" s="38"/>
    </row>
    <row r="24" spans="1:29" x14ac:dyDescent="0.25">
      <c r="A24" s="24">
        <v>123</v>
      </c>
      <c r="B24" s="24" t="s">
        <v>30</v>
      </c>
      <c r="C24" s="24" t="s">
        <v>8</v>
      </c>
      <c r="E24" s="21">
        <v>0.75781462892862206</v>
      </c>
      <c r="F24" s="25" t="str">
        <f t="shared" si="0"/>
        <v>SELECTED</v>
      </c>
      <c r="J24" s="1"/>
      <c r="K24" s="1"/>
      <c r="L24" s="8">
        <f>_xlfn.BINOM.DIST(K24,5,0.1,FALSE)</f>
        <v>0.59048999999999996</v>
      </c>
      <c r="M24" s="61">
        <f t="shared" si="1"/>
        <v>21.166666666666668</v>
      </c>
      <c r="N24" s="58"/>
      <c r="O24" s="58"/>
      <c r="P24" s="58"/>
      <c r="Q24" s="58"/>
      <c r="R24" s="58"/>
      <c r="S24" s="58"/>
      <c r="T24" s="58"/>
      <c r="U24" s="58"/>
      <c r="V24" s="58"/>
      <c r="W24" s="58"/>
      <c r="Y24" s="38"/>
      <c r="Z24" s="38">
        <v>6</v>
      </c>
      <c r="AA24" s="38">
        <v>76</v>
      </c>
      <c r="AB24" s="38"/>
      <c r="AC24" s="38"/>
    </row>
    <row r="25" spans="1:29" x14ac:dyDescent="0.25">
      <c r="A25" s="24">
        <v>124</v>
      </c>
      <c r="B25" s="24" t="s">
        <v>31</v>
      </c>
      <c r="C25" s="24" t="s">
        <v>8</v>
      </c>
      <c r="E25" s="21">
        <v>0.82325707819028171</v>
      </c>
      <c r="F25" s="25" t="str">
        <f t="shared" si="0"/>
        <v>NOT SELECTED</v>
      </c>
      <c r="J25" s="1"/>
      <c r="K25" s="1"/>
      <c r="L25" s="8">
        <v>0.73873463581340071</v>
      </c>
      <c r="M25" s="61">
        <f t="shared" si="1"/>
        <v>21.333333333333332</v>
      </c>
      <c r="N25" s="58"/>
      <c r="O25" s="58"/>
      <c r="P25" s="58"/>
      <c r="Q25" s="58"/>
      <c r="R25" s="58"/>
      <c r="S25" s="58"/>
      <c r="T25" s="58"/>
      <c r="U25" s="58"/>
      <c r="V25" s="58"/>
      <c r="W25" s="58"/>
      <c r="Y25" s="38"/>
      <c r="Z25" s="38">
        <v>7</v>
      </c>
      <c r="AA25" s="38">
        <v>84</v>
      </c>
      <c r="AB25" s="38"/>
      <c r="AC25" s="38"/>
    </row>
    <row r="26" spans="1:29" x14ac:dyDescent="0.25">
      <c r="A26" s="24">
        <v>125</v>
      </c>
      <c r="B26" s="24" t="s">
        <v>32</v>
      </c>
      <c r="C26" s="24" t="s">
        <v>10</v>
      </c>
      <c r="E26" s="21">
        <v>0.82884329508963572</v>
      </c>
      <c r="F26" s="25" t="str">
        <f t="shared" si="0"/>
        <v>NOT SELECTED</v>
      </c>
      <c r="H26" t="e">
        <f>(B9-AVERAGE(G26:G35))/_xlfn.STDEV.S(G26:G35)</f>
        <v>#VALUE!</v>
      </c>
      <c r="J26" s="1"/>
      <c r="K26" s="1"/>
      <c r="L26" s="8">
        <v>0.96874530055172203</v>
      </c>
      <c r="M26" s="61">
        <f t="shared" si="1"/>
        <v>21.5</v>
      </c>
      <c r="N26" s="58"/>
      <c r="O26" s="58"/>
      <c r="P26" s="58"/>
      <c r="Q26" s="58"/>
      <c r="R26" s="58"/>
      <c r="S26" s="58"/>
      <c r="T26" s="58"/>
      <c r="U26" s="58"/>
      <c r="V26" s="58"/>
      <c r="W26" s="58"/>
      <c r="Y26" s="38"/>
      <c r="Z26" s="38">
        <v>8</v>
      </c>
      <c r="AA26" s="38">
        <v>80</v>
      </c>
      <c r="AB26" s="38"/>
      <c r="AC26" s="38"/>
    </row>
    <row r="27" spans="1:29" x14ac:dyDescent="0.25">
      <c r="A27" s="24">
        <v>126</v>
      </c>
      <c r="B27" s="24" t="s">
        <v>33</v>
      </c>
      <c r="C27" s="24" t="s">
        <v>10</v>
      </c>
      <c r="E27" s="21">
        <v>0.87234007301305794</v>
      </c>
      <c r="F27" s="56" t="str">
        <f t="shared" si="0"/>
        <v>NOT SELECTED</v>
      </c>
      <c r="G27" s="4"/>
      <c r="H27" s="4" t="e">
        <f>(B10-AVERAGE(G27:G36))/_xlfn.STDEV.S(G27:G36)</f>
        <v>#VALUE!</v>
      </c>
      <c r="J27" s="1"/>
      <c r="K27" s="1"/>
      <c r="L27" s="8">
        <v>0.57130245855471895</v>
      </c>
      <c r="M27" s="61">
        <f t="shared" si="1"/>
        <v>21.666666666666668</v>
      </c>
      <c r="N27" s="58"/>
      <c r="O27" s="58"/>
      <c r="P27" s="58"/>
      <c r="Q27" s="58"/>
      <c r="R27" s="58"/>
      <c r="S27" s="58"/>
      <c r="T27" s="58"/>
      <c r="U27" s="58"/>
      <c r="V27" s="58"/>
      <c r="W27" s="58"/>
      <c r="Y27" s="38"/>
      <c r="Z27" s="38">
        <v>9</v>
      </c>
      <c r="AA27" s="38">
        <v>77</v>
      </c>
      <c r="AB27" s="38"/>
      <c r="AC27" s="38"/>
    </row>
    <row r="28" spans="1:29" x14ac:dyDescent="0.25">
      <c r="A28" s="24">
        <v>127</v>
      </c>
      <c r="B28" s="24" t="s">
        <v>34</v>
      </c>
      <c r="C28" s="24" t="s">
        <v>10</v>
      </c>
      <c r="E28" s="21"/>
      <c r="F28" s="55"/>
      <c r="G28" s="50"/>
      <c r="H28" s="50"/>
      <c r="J28" s="1"/>
      <c r="K28" s="1"/>
      <c r="L28" s="8">
        <v>0.84962687384330371</v>
      </c>
      <c r="M28" s="61">
        <f t="shared" si="1"/>
        <v>21.833333333333332</v>
      </c>
      <c r="N28" s="58"/>
      <c r="O28" s="58"/>
      <c r="P28" s="58"/>
      <c r="Q28" s="58"/>
      <c r="R28" s="58"/>
      <c r="S28" s="58"/>
      <c r="T28" s="58"/>
      <c r="U28" s="58"/>
      <c r="V28" s="58"/>
      <c r="W28" s="58"/>
      <c r="Y28" s="38"/>
      <c r="Z28" s="38">
        <v>10</v>
      </c>
      <c r="AA28" s="38">
        <v>83</v>
      </c>
      <c r="AB28" s="38"/>
      <c r="AC28" s="38"/>
    </row>
    <row r="29" spans="1:29" x14ac:dyDescent="0.25">
      <c r="A29" s="24">
        <v>128</v>
      </c>
      <c r="B29" s="24" t="s">
        <v>35</v>
      </c>
      <c r="C29" s="24" t="s">
        <v>10</v>
      </c>
      <c r="E29" s="21">
        <v>0.94582715234744108</v>
      </c>
      <c r="F29" s="25" t="str">
        <f t="shared" si="0"/>
        <v>NOT SELECTED</v>
      </c>
      <c r="J29" s="1"/>
      <c r="K29" s="1"/>
      <c r="L29" s="8">
        <v>0.95344040076522907</v>
      </c>
      <c r="M29" s="61">
        <f t="shared" si="1"/>
        <v>22</v>
      </c>
      <c r="N29" s="58" t="s">
        <v>157</v>
      </c>
      <c r="O29" s="58"/>
      <c r="P29" s="58"/>
      <c r="Q29" s="58"/>
      <c r="R29" s="58"/>
      <c r="S29" s="58"/>
      <c r="T29" s="58"/>
      <c r="U29" s="58"/>
      <c r="V29" s="58"/>
      <c r="W29" s="58"/>
    </row>
    <row r="30" spans="1:29" x14ac:dyDescent="0.25">
      <c r="A30" s="24">
        <v>129</v>
      </c>
      <c r="B30" s="24" t="s">
        <v>36</v>
      </c>
      <c r="C30" s="24" t="s">
        <v>12</v>
      </c>
      <c r="E30" s="21">
        <v>0.95643002426886203</v>
      </c>
      <c r="F30" s="25" t="str">
        <f t="shared" si="0"/>
        <v>NOT SELECTED</v>
      </c>
      <c r="J30" s="1"/>
      <c r="K30" s="1"/>
      <c r="L30" s="8">
        <v>0.6297374398552753</v>
      </c>
      <c r="M30" s="62">
        <f t="shared" si="1"/>
        <v>22.166666666666668</v>
      </c>
      <c r="N30" s="60" t="s">
        <v>147</v>
      </c>
      <c r="O30" s="60" t="s">
        <v>148</v>
      </c>
      <c r="P30" s="60" t="s">
        <v>149</v>
      </c>
      <c r="Q30" s="60" t="s">
        <v>142</v>
      </c>
      <c r="R30" s="60" t="s">
        <v>141</v>
      </c>
      <c r="S30" s="58"/>
      <c r="T30" s="58"/>
      <c r="U30" s="58"/>
      <c r="V30" s="58"/>
      <c r="W30" s="58"/>
    </row>
    <row r="31" spans="1:29" ht="15.75" thickBot="1" x14ac:dyDescent="0.3">
      <c r="A31" s="24">
        <v>130</v>
      </c>
      <c r="B31" s="24" t="s">
        <v>37</v>
      </c>
      <c r="C31" s="24" t="s">
        <v>12</v>
      </c>
      <c r="E31" s="22">
        <v>0.97343323712997099</v>
      </c>
      <c r="F31" s="26" t="str">
        <f t="shared" si="0"/>
        <v>NOT SELECTED</v>
      </c>
      <c r="J31" s="1"/>
      <c r="K31" s="1"/>
      <c r="L31" s="8">
        <v>0.35352962872833882</v>
      </c>
      <c r="M31" s="62">
        <f t="shared" si="1"/>
        <v>22.333333333333332</v>
      </c>
      <c r="N31" s="60">
        <v>1</v>
      </c>
      <c r="O31" s="60">
        <v>3</v>
      </c>
      <c r="P31" s="60">
        <v>5</v>
      </c>
      <c r="Q31" s="60">
        <f>_xlfn.COVARIANCE.S(O31:O35,P31:P35)</f>
        <v>7.4499999999999993</v>
      </c>
      <c r="R31" s="60">
        <f>_xlfn.COVARIANCE.P(O31:O35,P31:P35)</f>
        <v>5.9599999999999991</v>
      </c>
      <c r="S31" s="58"/>
      <c r="T31" s="58"/>
      <c r="U31" s="58"/>
      <c r="V31" s="58"/>
      <c r="W31" s="58"/>
    </row>
    <row r="32" spans="1:29" ht="15.75" thickBot="1" x14ac:dyDescent="0.3">
      <c r="F32" s="1"/>
      <c r="G32" s="1"/>
      <c r="H32" s="1"/>
      <c r="I32" s="1"/>
      <c r="J32" s="1"/>
      <c r="K32" s="1"/>
      <c r="L32" s="9"/>
      <c r="M32" s="63">
        <f t="shared" si="1"/>
        <v>22.5</v>
      </c>
      <c r="N32" s="60">
        <v>2</v>
      </c>
      <c r="O32" s="60">
        <v>2</v>
      </c>
      <c r="P32" s="60">
        <v>4.5</v>
      </c>
      <c r="Q32" s="60"/>
      <c r="R32" s="60"/>
      <c r="S32" s="58" t="s">
        <v>150</v>
      </c>
      <c r="T32" s="58"/>
      <c r="U32" s="58"/>
      <c r="V32" s="58"/>
      <c r="W32" s="58"/>
    </row>
    <row r="33" spans="1:26" x14ac:dyDescent="0.25">
      <c r="M33" s="58"/>
      <c r="N33" s="60">
        <v>3</v>
      </c>
      <c r="O33" s="60">
        <v>6</v>
      </c>
      <c r="P33" s="60">
        <v>9</v>
      </c>
      <c r="Q33" s="60"/>
      <c r="R33" s="60"/>
      <c r="S33" s="58"/>
      <c r="T33" s="58"/>
      <c r="U33" s="58"/>
      <c r="V33" s="58"/>
      <c r="W33" s="58"/>
      <c r="Y33" s="47"/>
      <c r="Z33" s="47"/>
    </row>
    <row r="34" spans="1:26" x14ac:dyDescent="0.25">
      <c r="M34" s="58"/>
      <c r="N34" s="60">
        <v>4</v>
      </c>
      <c r="O34" s="60">
        <v>1</v>
      </c>
      <c r="P34" s="60">
        <v>1</v>
      </c>
      <c r="Q34" s="60"/>
      <c r="R34" s="60"/>
      <c r="S34" s="58"/>
      <c r="T34" s="58"/>
      <c r="U34" s="58"/>
      <c r="V34" s="58"/>
      <c r="W34" s="58"/>
      <c r="Y34" s="38"/>
      <c r="Z34" s="38"/>
    </row>
    <row r="35" spans="1:26" x14ac:dyDescent="0.25">
      <c r="M35" s="58"/>
      <c r="N35" s="60">
        <v>5</v>
      </c>
      <c r="O35" s="60">
        <v>0</v>
      </c>
      <c r="P35" s="60">
        <v>1</v>
      </c>
      <c r="Q35" s="60"/>
      <c r="R35" s="60"/>
      <c r="S35" s="58"/>
      <c r="T35" s="58"/>
      <c r="U35" s="58"/>
      <c r="V35" s="58"/>
      <c r="W35" s="58"/>
      <c r="Y35" s="38"/>
      <c r="Z35" s="38"/>
    </row>
    <row r="36" spans="1:26" ht="24" thickBot="1" x14ac:dyDescent="0.4">
      <c r="B36" s="33" t="s">
        <v>50</v>
      </c>
      <c r="Y36" s="38"/>
      <c r="Z36" s="38"/>
    </row>
    <row r="37" spans="1:26" x14ac:dyDescent="0.25">
      <c r="A37" s="28" t="s">
        <v>51</v>
      </c>
      <c r="B37" s="28" t="s">
        <v>52</v>
      </c>
      <c r="C37" s="28" t="s">
        <v>52</v>
      </c>
      <c r="E37" s="29" t="s">
        <v>55</v>
      </c>
      <c r="F37" s="30" t="s">
        <v>56</v>
      </c>
      <c r="Y37" s="38"/>
      <c r="Z37" s="38"/>
    </row>
    <row r="38" spans="1:26" ht="15.75" thickBot="1" x14ac:dyDescent="0.3">
      <c r="A38" s="4" cm="1">
        <f t="array" ref="A38:A237">_xlfn.SEQUENCE(200)</f>
        <v>1</v>
      </c>
      <c r="B38" s="4" t="s">
        <v>53</v>
      </c>
      <c r="C38" s="4" t="s">
        <v>53</v>
      </c>
      <c r="E38" s="31">
        <f>108/200</f>
        <v>0.54</v>
      </c>
      <c r="F38" s="32">
        <f>COUNTIF(B38:B237,"HEADS")</f>
        <v>108</v>
      </c>
      <c r="Y38" s="38"/>
      <c r="Z38" s="38"/>
    </row>
    <row r="39" spans="1:26" ht="15.75" thickBot="1" x14ac:dyDescent="0.3">
      <c r="A39" s="4">
        <v>2</v>
      </c>
      <c r="B39" s="4" t="s">
        <v>54</v>
      </c>
      <c r="C39" s="4" t="s">
        <v>53</v>
      </c>
      <c r="Y39" s="38"/>
      <c r="Z39" s="38"/>
    </row>
    <row r="40" spans="1:26" x14ac:dyDescent="0.25">
      <c r="A40" s="4">
        <v>3</v>
      </c>
      <c r="B40" s="4" t="s">
        <v>53</v>
      </c>
      <c r="C40" s="4" t="s">
        <v>53</v>
      </c>
      <c r="E40" s="29" t="s">
        <v>58</v>
      </c>
      <c r="F40" s="30" t="s">
        <v>57</v>
      </c>
      <c r="Y40" s="38"/>
      <c r="Z40" s="38"/>
    </row>
    <row r="41" spans="1:26" ht="15.75" thickBot="1" x14ac:dyDescent="0.3">
      <c r="A41" s="4">
        <v>4</v>
      </c>
      <c r="B41" s="4" t="s">
        <v>53</v>
      </c>
      <c r="C41" s="4" t="s">
        <v>53</v>
      </c>
      <c r="E41" s="31">
        <f>92/200</f>
        <v>0.46</v>
      </c>
      <c r="F41" s="32">
        <f>COUNTIF(B38:B237,"TAILS")</f>
        <v>92</v>
      </c>
      <c r="Y41" s="38"/>
      <c r="Z41" s="38"/>
    </row>
    <row r="42" spans="1:26" x14ac:dyDescent="0.25">
      <c r="A42" s="4">
        <v>5</v>
      </c>
      <c r="B42" s="4" t="s">
        <v>53</v>
      </c>
      <c r="C42" s="4" t="s">
        <v>53</v>
      </c>
      <c r="Y42" s="38"/>
      <c r="Z42" s="38"/>
    </row>
    <row r="43" spans="1:26" x14ac:dyDescent="0.25">
      <c r="A43" s="4">
        <v>6</v>
      </c>
      <c r="B43" s="4" t="s">
        <v>54</v>
      </c>
      <c r="C43" s="4" t="s">
        <v>53</v>
      </c>
      <c r="Y43" s="38"/>
      <c r="Z43" s="38"/>
    </row>
    <row r="44" spans="1:26" x14ac:dyDescent="0.25">
      <c r="A44" s="4">
        <v>7</v>
      </c>
      <c r="B44" s="4" t="s">
        <v>54</v>
      </c>
      <c r="C44" s="4" t="s">
        <v>53</v>
      </c>
    </row>
    <row r="45" spans="1:26" x14ac:dyDescent="0.25">
      <c r="A45" s="4">
        <v>8</v>
      </c>
      <c r="B45" s="4" t="s">
        <v>54</v>
      </c>
      <c r="C45" s="4" t="s">
        <v>53</v>
      </c>
    </row>
    <row r="46" spans="1:26" x14ac:dyDescent="0.25">
      <c r="A46" s="4">
        <v>9</v>
      </c>
      <c r="B46" s="4" t="s">
        <v>53</v>
      </c>
      <c r="C46" s="4" t="s">
        <v>53</v>
      </c>
    </row>
    <row r="47" spans="1:26" x14ac:dyDescent="0.25">
      <c r="A47" s="4">
        <v>10</v>
      </c>
      <c r="B47" s="4" t="s">
        <v>53</v>
      </c>
      <c r="C47" s="4" t="s">
        <v>53</v>
      </c>
    </row>
    <row r="48" spans="1:26" x14ac:dyDescent="0.25">
      <c r="A48" s="4">
        <v>11</v>
      </c>
      <c r="B48" s="4" t="s">
        <v>54</v>
      </c>
      <c r="C48" s="4" t="s">
        <v>53</v>
      </c>
    </row>
    <row r="49" spans="1:3" x14ac:dyDescent="0.25">
      <c r="A49" s="4">
        <v>12</v>
      </c>
      <c r="B49" s="4" t="s">
        <v>53</v>
      </c>
      <c r="C49" s="4" t="s">
        <v>53</v>
      </c>
    </row>
    <row r="50" spans="1:3" x14ac:dyDescent="0.25">
      <c r="A50" s="4">
        <v>13</v>
      </c>
      <c r="B50" s="4" t="s">
        <v>54</v>
      </c>
      <c r="C50" s="4" t="s">
        <v>53</v>
      </c>
    </row>
    <row r="51" spans="1:3" x14ac:dyDescent="0.25">
      <c r="A51" s="4">
        <v>14</v>
      </c>
      <c r="B51" s="4" t="s">
        <v>54</v>
      </c>
      <c r="C51" s="4" t="s">
        <v>53</v>
      </c>
    </row>
    <row r="52" spans="1:3" x14ac:dyDescent="0.25">
      <c r="A52" s="4">
        <v>15</v>
      </c>
      <c r="B52" s="4" t="s">
        <v>54</v>
      </c>
      <c r="C52" s="4" t="s">
        <v>53</v>
      </c>
    </row>
    <row r="53" spans="1:3" x14ac:dyDescent="0.25">
      <c r="A53" s="4">
        <v>16</v>
      </c>
      <c r="B53" s="4" t="s">
        <v>54</v>
      </c>
      <c r="C53" s="4" t="s">
        <v>54</v>
      </c>
    </row>
    <row r="54" spans="1:3" x14ac:dyDescent="0.25">
      <c r="A54" s="4">
        <v>17</v>
      </c>
      <c r="B54" s="4" t="s">
        <v>53</v>
      </c>
      <c r="C54" s="4" t="s">
        <v>53</v>
      </c>
    </row>
    <row r="55" spans="1:3" x14ac:dyDescent="0.25">
      <c r="A55" s="4">
        <v>18</v>
      </c>
      <c r="B55" s="4" t="s">
        <v>53</v>
      </c>
      <c r="C55" s="4" t="s">
        <v>53</v>
      </c>
    </row>
    <row r="56" spans="1:3" x14ac:dyDescent="0.25">
      <c r="A56" s="4">
        <v>19</v>
      </c>
      <c r="B56" s="4" t="s">
        <v>54</v>
      </c>
      <c r="C56" s="4" t="s">
        <v>53</v>
      </c>
    </row>
    <row r="57" spans="1:3" x14ac:dyDescent="0.25">
      <c r="A57" s="4">
        <v>20</v>
      </c>
      <c r="B57" s="4" t="s">
        <v>53</v>
      </c>
      <c r="C57" s="4" t="s">
        <v>53</v>
      </c>
    </row>
    <row r="58" spans="1:3" x14ac:dyDescent="0.25">
      <c r="A58" s="4">
        <v>21</v>
      </c>
      <c r="B58" s="4" t="s">
        <v>54</v>
      </c>
      <c r="C58" s="4" t="s">
        <v>53</v>
      </c>
    </row>
    <row r="59" spans="1:3" x14ac:dyDescent="0.25">
      <c r="A59" s="4">
        <v>22</v>
      </c>
      <c r="B59" s="4" t="s">
        <v>54</v>
      </c>
      <c r="C59" s="4" t="s">
        <v>54</v>
      </c>
    </row>
    <row r="60" spans="1:3" x14ac:dyDescent="0.25">
      <c r="A60" s="4">
        <v>23</v>
      </c>
      <c r="B60" s="4" t="s">
        <v>53</v>
      </c>
      <c r="C60" s="4" t="s">
        <v>53</v>
      </c>
    </row>
    <row r="61" spans="1:3" x14ac:dyDescent="0.25">
      <c r="A61" s="4">
        <v>24</v>
      </c>
      <c r="B61" s="4" t="s">
        <v>54</v>
      </c>
      <c r="C61" s="4" t="s">
        <v>53</v>
      </c>
    </row>
    <row r="62" spans="1:3" x14ac:dyDescent="0.25">
      <c r="A62" s="4">
        <v>25</v>
      </c>
      <c r="B62" s="4" t="s">
        <v>53</v>
      </c>
      <c r="C62" s="4" t="s">
        <v>53</v>
      </c>
    </row>
    <row r="63" spans="1:3" x14ac:dyDescent="0.25">
      <c r="A63" s="4">
        <v>26</v>
      </c>
      <c r="B63" s="4" t="s">
        <v>54</v>
      </c>
      <c r="C63" s="4" t="s">
        <v>53</v>
      </c>
    </row>
    <row r="64" spans="1:3" x14ac:dyDescent="0.25">
      <c r="A64" s="4">
        <v>27</v>
      </c>
      <c r="B64" s="4" t="s">
        <v>53</v>
      </c>
      <c r="C64" s="4" t="s">
        <v>53</v>
      </c>
    </row>
    <row r="65" spans="1:3" x14ac:dyDescent="0.25">
      <c r="A65" s="4">
        <v>28</v>
      </c>
      <c r="B65" s="4" t="s">
        <v>53</v>
      </c>
      <c r="C65" s="4" t="s">
        <v>54</v>
      </c>
    </row>
    <row r="66" spans="1:3" x14ac:dyDescent="0.25">
      <c r="A66" s="4">
        <v>29</v>
      </c>
      <c r="B66" s="4" t="s">
        <v>53</v>
      </c>
      <c r="C66" s="4" t="s">
        <v>54</v>
      </c>
    </row>
    <row r="67" spans="1:3" x14ac:dyDescent="0.25">
      <c r="A67" s="4">
        <v>30</v>
      </c>
      <c r="B67" s="4" t="s">
        <v>53</v>
      </c>
      <c r="C67" s="4" t="s">
        <v>53</v>
      </c>
    </row>
    <row r="68" spans="1:3" x14ac:dyDescent="0.25">
      <c r="A68" s="4">
        <v>31</v>
      </c>
      <c r="B68" s="4" t="s">
        <v>53</v>
      </c>
      <c r="C68" s="4" t="s">
        <v>53</v>
      </c>
    </row>
    <row r="69" spans="1:3" x14ac:dyDescent="0.25">
      <c r="A69" s="4">
        <v>32</v>
      </c>
      <c r="B69" s="4" t="s">
        <v>53</v>
      </c>
      <c r="C69" s="4" t="s">
        <v>53</v>
      </c>
    </row>
    <row r="70" spans="1:3" x14ac:dyDescent="0.25">
      <c r="A70" s="4">
        <v>33</v>
      </c>
      <c r="B70" s="4" t="s">
        <v>53</v>
      </c>
      <c r="C70" s="4" t="s">
        <v>53</v>
      </c>
    </row>
    <row r="71" spans="1:3" x14ac:dyDescent="0.25">
      <c r="A71" s="4">
        <v>34</v>
      </c>
      <c r="B71" s="4" t="s">
        <v>53</v>
      </c>
      <c r="C71" s="4" t="s">
        <v>53</v>
      </c>
    </row>
    <row r="72" spans="1:3" x14ac:dyDescent="0.25">
      <c r="A72" s="4">
        <v>35</v>
      </c>
      <c r="B72" s="4" t="s">
        <v>53</v>
      </c>
      <c r="C72" s="4" t="s">
        <v>53</v>
      </c>
    </row>
    <row r="73" spans="1:3" x14ac:dyDescent="0.25">
      <c r="A73" s="4">
        <v>36</v>
      </c>
      <c r="B73" s="4" t="s">
        <v>54</v>
      </c>
      <c r="C73" s="4" t="s">
        <v>53</v>
      </c>
    </row>
    <row r="74" spans="1:3" x14ac:dyDescent="0.25">
      <c r="A74" s="4">
        <v>37</v>
      </c>
      <c r="B74" s="4" t="s">
        <v>54</v>
      </c>
      <c r="C74" s="4" t="s">
        <v>53</v>
      </c>
    </row>
    <row r="75" spans="1:3" x14ac:dyDescent="0.25">
      <c r="A75" s="4">
        <v>38</v>
      </c>
      <c r="B75" s="4" t="s">
        <v>54</v>
      </c>
      <c r="C75" s="4" t="s">
        <v>53</v>
      </c>
    </row>
    <row r="76" spans="1:3" x14ac:dyDescent="0.25">
      <c r="A76" s="4">
        <v>39</v>
      </c>
      <c r="B76" s="4" t="s">
        <v>54</v>
      </c>
      <c r="C76" s="4" t="s">
        <v>53</v>
      </c>
    </row>
    <row r="77" spans="1:3" x14ac:dyDescent="0.25">
      <c r="A77" s="4">
        <v>40</v>
      </c>
      <c r="B77" s="4" t="s">
        <v>53</v>
      </c>
      <c r="C77" s="4" t="s">
        <v>53</v>
      </c>
    </row>
    <row r="78" spans="1:3" x14ac:dyDescent="0.25">
      <c r="A78" s="4">
        <v>41</v>
      </c>
      <c r="B78" s="4" t="s">
        <v>53</v>
      </c>
      <c r="C78" s="4" t="s">
        <v>53</v>
      </c>
    </row>
    <row r="79" spans="1:3" x14ac:dyDescent="0.25">
      <c r="A79" s="4">
        <v>42</v>
      </c>
      <c r="B79" s="4" t="s">
        <v>54</v>
      </c>
      <c r="C79" s="4" t="s">
        <v>53</v>
      </c>
    </row>
    <row r="80" spans="1:3" x14ac:dyDescent="0.25">
      <c r="A80" s="4">
        <v>43</v>
      </c>
      <c r="B80" s="4" t="s">
        <v>53</v>
      </c>
      <c r="C80" s="4" t="s">
        <v>53</v>
      </c>
    </row>
    <row r="81" spans="1:3" x14ac:dyDescent="0.25">
      <c r="A81" s="4">
        <v>44</v>
      </c>
      <c r="B81" s="4" t="s">
        <v>54</v>
      </c>
      <c r="C81" s="4" t="s">
        <v>54</v>
      </c>
    </row>
    <row r="82" spans="1:3" x14ac:dyDescent="0.25">
      <c r="A82" s="4">
        <v>45</v>
      </c>
      <c r="B82" s="4" t="s">
        <v>53</v>
      </c>
      <c r="C82" s="4" t="s">
        <v>53</v>
      </c>
    </row>
    <row r="83" spans="1:3" x14ac:dyDescent="0.25">
      <c r="A83" s="4">
        <v>46</v>
      </c>
      <c r="B83" s="4" t="s">
        <v>54</v>
      </c>
      <c r="C83" s="4" t="s">
        <v>53</v>
      </c>
    </row>
    <row r="84" spans="1:3" x14ac:dyDescent="0.25">
      <c r="A84" s="4">
        <v>47</v>
      </c>
      <c r="B84" s="4" t="s">
        <v>54</v>
      </c>
      <c r="C84" s="4" t="s">
        <v>53</v>
      </c>
    </row>
    <row r="85" spans="1:3" x14ac:dyDescent="0.25">
      <c r="A85" s="4">
        <v>48</v>
      </c>
      <c r="B85" s="4" t="s">
        <v>54</v>
      </c>
      <c r="C85" s="4" t="s">
        <v>53</v>
      </c>
    </row>
    <row r="86" spans="1:3" x14ac:dyDescent="0.25">
      <c r="A86" s="4">
        <v>49</v>
      </c>
      <c r="B86" s="4" t="s">
        <v>53</v>
      </c>
      <c r="C86" s="4" t="s">
        <v>53</v>
      </c>
    </row>
    <row r="87" spans="1:3" x14ac:dyDescent="0.25">
      <c r="A87" s="4">
        <v>50</v>
      </c>
      <c r="B87" s="4" t="s">
        <v>54</v>
      </c>
      <c r="C87" s="4" t="s">
        <v>53</v>
      </c>
    </row>
    <row r="88" spans="1:3" x14ac:dyDescent="0.25">
      <c r="A88" s="4">
        <v>51</v>
      </c>
      <c r="B88" s="4" t="s">
        <v>54</v>
      </c>
      <c r="C88" s="4" t="s">
        <v>53</v>
      </c>
    </row>
    <row r="89" spans="1:3" x14ac:dyDescent="0.25">
      <c r="A89" s="4">
        <v>52</v>
      </c>
      <c r="B89" s="4" t="s">
        <v>54</v>
      </c>
      <c r="C89" s="4" t="s">
        <v>53</v>
      </c>
    </row>
    <row r="90" spans="1:3" x14ac:dyDescent="0.25">
      <c r="A90" s="4">
        <v>53</v>
      </c>
      <c r="B90" s="4" t="s">
        <v>54</v>
      </c>
      <c r="C90" s="4" t="s">
        <v>53</v>
      </c>
    </row>
    <row r="91" spans="1:3" x14ac:dyDescent="0.25">
      <c r="A91" s="4">
        <v>54</v>
      </c>
      <c r="B91" s="4" t="s">
        <v>54</v>
      </c>
      <c r="C91" s="4" t="s">
        <v>53</v>
      </c>
    </row>
    <row r="92" spans="1:3" x14ac:dyDescent="0.25">
      <c r="A92" s="4">
        <v>55</v>
      </c>
      <c r="B92" s="4" t="s">
        <v>53</v>
      </c>
      <c r="C92" s="4" t="s">
        <v>53</v>
      </c>
    </row>
    <row r="93" spans="1:3" x14ac:dyDescent="0.25">
      <c r="A93" s="4">
        <v>56</v>
      </c>
      <c r="B93" s="4" t="s">
        <v>54</v>
      </c>
      <c r="C93" s="4" t="s">
        <v>53</v>
      </c>
    </row>
    <row r="94" spans="1:3" x14ac:dyDescent="0.25">
      <c r="A94" s="4">
        <v>57</v>
      </c>
      <c r="B94" s="4" t="s">
        <v>53</v>
      </c>
      <c r="C94" s="4" t="s">
        <v>53</v>
      </c>
    </row>
    <row r="95" spans="1:3" x14ac:dyDescent="0.25">
      <c r="A95" s="4">
        <v>58</v>
      </c>
      <c r="B95" s="4" t="s">
        <v>53</v>
      </c>
      <c r="C95" s="4" t="s">
        <v>53</v>
      </c>
    </row>
    <row r="96" spans="1:3" x14ac:dyDescent="0.25">
      <c r="A96" s="4">
        <v>59</v>
      </c>
      <c r="B96" s="4" t="s">
        <v>54</v>
      </c>
      <c r="C96" s="4" t="s">
        <v>53</v>
      </c>
    </row>
    <row r="97" spans="1:3" x14ac:dyDescent="0.25">
      <c r="A97" s="4">
        <v>60</v>
      </c>
      <c r="B97" s="4" t="s">
        <v>54</v>
      </c>
      <c r="C97" s="4" t="s">
        <v>53</v>
      </c>
    </row>
    <row r="98" spans="1:3" x14ac:dyDescent="0.25">
      <c r="A98" s="4">
        <v>61</v>
      </c>
      <c r="B98" s="4" t="s">
        <v>53</v>
      </c>
      <c r="C98" s="4" t="s">
        <v>53</v>
      </c>
    </row>
    <row r="99" spans="1:3" x14ac:dyDescent="0.25">
      <c r="A99" s="4">
        <v>62</v>
      </c>
      <c r="B99" s="4" t="s">
        <v>53</v>
      </c>
      <c r="C99" s="4" t="s">
        <v>53</v>
      </c>
    </row>
    <row r="100" spans="1:3" x14ac:dyDescent="0.25">
      <c r="A100" s="4">
        <v>63</v>
      </c>
      <c r="B100" s="4" t="s">
        <v>53</v>
      </c>
      <c r="C100" s="4" t="s">
        <v>53</v>
      </c>
    </row>
    <row r="101" spans="1:3" x14ac:dyDescent="0.25">
      <c r="A101" s="4">
        <v>64</v>
      </c>
      <c r="B101" s="4" t="s">
        <v>54</v>
      </c>
      <c r="C101" s="4" t="s">
        <v>54</v>
      </c>
    </row>
    <row r="102" spans="1:3" x14ac:dyDescent="0.25">
      <c r="A102" s="4">
        <v>65</v>
      </c>
      <c r="B102" s="4" t="s">
        <v>54</v>
      </c>
      <c r="C102" s="4" t="s">
        <v>53</v>
      </c>
    </row>
    <row r="103" spans="1:3" x14ac:dyDescent="0.25">
      <c r="A103" s="4">
        <v>66</v>
      </c>
      <c r="B103" s="4" t="s">
        <v>53</v>
      </c>
      <c r="C103" s="4" t="s">
        <v>53</v>
      </c>
    </row>
    <row r="104" spans="1:3" x14ac:dyDescent="0.25">
      <c r="A104" s="4">
        <v>67</v>
      </c>
      <c r="B104" s="4" t="s">
        <v>54</v>
      </c>
      <c r="C104" s="4" t="s">
        <v>53</v>
      </c>
    </row>
    <row r="105" spans="1:3" x14ac:dyDescent="0.25">
      <c r="A105" s="4">
        <v>68</v>
      </c>
      <c r="B105" s="4" t="s">
        <v>53</v>
      </c>
      <c r="C105" s="4" t="s">
        <v>53</v>
      </c>
    </row>
    <row r="106" spans="1:3" x14ac:dyDescent="0.25">
      <c r="A106" s="4">
        <v>69</v>
      </c>
      <c r="B106" s="4" t="s">
        <v>53</v>
      </c>
      <c r="C106" s="4" t="s">
        <v>53</v>
      </c>
    </row>
    <row r="107" spans="1:3" x14ac:dyDescent="0.25">
      <c r="A107" s="4">
        <v>70</v>
      </c>
      <c r="B107" s="4" t="s">
        <v>54</v>
      </c>
      <c r="C107" s="4" t="s">
        <v>53</v>
      </c>
    </row>
    <row r="108" spans="1:3" x14ac:dyDescent="0.25">
      <c r="A108" s="4">
        <v>71</v>
      </c>
      <c r="B108" s="4" t="s">
        <v>54</v>
      </c>
      <c r="C108" s="4" t="s">
        <v>53</v>
      </c>
    </row>
    <row r="109" spans="1:3" x14ac:dyDescent="0.25">
      <c r="A109" s="4">
        <v>72</v>
      </c>
      <c r="B109" s="4" t="s">
        <v>54</v>
      </c>
      <c r="C109" s="4" t="s">
        <v>53</v>
      </c>
    </row>
    <row r="110" spans="1:3" x14ac:dyDescent="0.25">
      <c r="A110" s="4">
        <v>73</v>
      </c>
      <c r="B110" s="4" t="s">
        <v>54</v>
      </c>
      <c r="C110" s="4" t="s">
        <v>53</v>
      </c>
    </row>
    <row r="111" spans="1:3" x14ac:dyDescent="0.25">
      <c r="A111" s="4">
        <v>74</v>
      </c>
      <c r="B111" s="4" t="s">
        <v>53</v>
      </c>
      <c r="C111" s="4" t="s">
        <v>53</v>
      </c>
    </row>
    <row r="112" spans="1:3" x14ac:dyDescent="0.25">
      <c r="A112" s="4">
        <v>75</v>
      </c>
      <c r="B112" s="4" t="s">
        <v>54</v>
      </c>
      <c r="C112" s="4" t="s">
        <v>53</v>
      </c>
    </row>
    <row r="113" spans="1:3" x14ac:dyDescent="0.25">
      <c r="A113" s="4">
        <v>76</v>
      </c>
      <c r="B113" s="4" t="s">
        <v>54</v>
      </c>
      <c r="C113" s="4" t="s">
        <v>53</v>
      </c>
    </row>
    <row r="114" spans="1:3" x14ac:dyDescent="0.25">
      <c r="A114" s="4">
        <v>77</v>
      </c>
      <c r="B114" s="4" t="s">
        <v>54</v>
      </c>
      <c r="C114" s="4" t="s">
        <v>53</v>
      </c>
    </row>
    <row r="115" spans="1:3" x14ac:dyDescent="0.25">
      <c r="A115" s="4">
        <v>78</v>
      </c>
      <c r="B115" s="4" t="s">
        <v>53</v>
      </c>
      <c r="C115" s="4" t="s">
        <v>53</v>
      </c>
    </row>
    <row r="116" spans="1:3" x14ac:dyDescent="0.25">
      <c r="A116" s="4">
        <v>79</v>
      </c>
      <c r="B116" s="4" t="s">
        <v>53</v>
      </c>
      <c r="C116" s="4" t="s">
        <v>53</v>
      </c>
    </row>
    <row r="117" spans="1:3" x14ac:dyDescent="0.25">
      <c r="A117" s="4">
        <v>80</v>
      </c>
      <c r="B117" s="4" t="s">
        <v>54</v>
      </c>
      <c r="C117" s="4" t="s">
        <v>53</v>
      </c>
    </row>
    <row r="118" spans="1:3" x14ac:dyDescent="0.25">
      <c r="A118" s="4">
        <v>81</v>
      </c>
      <c r="B118" s="4" t="s">
        <v>54</v>
      </c>
      <c r="C118" s="4" t="s">
        <v>53</v>
      </c>
    </row>
    <row r="119" spans="1:3" x14ac:dyDescent="0.25">
      <c r="A119" s="4">
        <v>82</v>
      </c>
      <c r="B119" s="4" t="s">
        <v>54</v>
      </c>
      <c r="C119" s="4" t="s">
        <v>53</v>
      </c>
    </row>
    <row r="120" spans="1:3" x14ac:dyDescent="0.25">
      <c r="A120" s="4">
        <v>83</v>
      </c>
      <c r="B120" s="4" t="s">
        <v>53</v>
      </c>
      <c r="C120" s="4" t="s">
        <v>53</v>
      </c>
    </row>
    <row r="121" spans="1:3" x14ac:dyDescent="0.25">
      <c r="A121" s="4">
        <v>84</v>
      </c>
      <c r="B121" s="4" t="s">
        <v>53</v>
      </c>
      <c r="C121" s="4" t="s">
        <v>53</v>
      </c>
    </row>
    <row r="122" spans="1:3" x14ac:dyDescent="0.25">
      <c r="A122" s="4">
        <v>85</v>
      </c>
      <c r="B122" s="4" t="s">
        <v>54</v>
      </c>
      <c r="C122" s="4" t="s">
        <v>53</v>
      </c>
    </row>
    <row r="123" spans="1:3" x14ac:dyDescent="0.25">
      <c r="A123" s="4">
        <v>86</v>
      </c>
      <c r="B123" s="4" t="s">
        <v>53</v>
      </c>
      <c r="C123" s="4" t="s">
        <v>53</v>
      </c>
    </row>
    <row r="124" spans="1:3" x14ac:dyDescent="0.25">
      <c r="A124" s="4">
        <v>87</v>
      </c>
      <c r="B124" s="4" t="s">
        <v>54</v>
      </c>
      <c r="C124" s="4" t="s">
        <v>53</v>
      </c>
    </row>
    <row r="125" spans="1:3" x14ac:dyDescent="0.25">
      <c r="A125" s="4">
        <v>88</v>
      </c>
      <c r="B125" s="4" t="s">
        <v>53</v>
      </c>
      <c r="C125" s="4" t="s">
        <v>53</v>
      </c>
    </row>
    <row r="126" spans="1:3" x14ac:dyDescent="0.25">
      <c r="A126" s="4">
        <v>89</v>
      </c>
      <c r="B126" s="4" t="s">
        <v>54</v>
      </c>
      <c r="C126" s="4" t="s">
        <v>53</v>
      </c>
    </row>
    <row r="127" spans="1:3" x14ac:dyDescent="0.25">
      <c r="A127" s="4">
        <v>90</v>
      </c>
      <c r="B127" s="4" t="s">
        <v>53</v>
      </c>
      <c r="C127" s="4" t="s">
        <v>53</v>
      </c>
    </row>
    <row r="128" spans="1:3" x14ac:dyDescent="0.25">
      <c r="A128" s="4">
        <v>91</v>
      </c>
      <c r="B128" s="4" t="s">
        <v>54</v>
      </c>
      <c r="C128" s="4" t="s">
        <v>53</v>
      </c>
    </row>
    <row r="129" spans="1:3" x14ac:dyDescent="0.25">
      <c r="A129" s="4">
        <v>92</v>
      </c>
      <c r="B129" s="4" t="s">
        <v>54</v>
      </c>
      <c r="C129" s="4" t="s">
        <v>53</v>
      </c>
    </row>
    <row r="130" spans="1:3" x14ac:dyDescent="0.25">
      <c r="A130" s="4">
        <v>93</v>
      </c>
      <c r="B130" s="4" t="s">
        <v>54</v>
      </c>
      <c r="C130" s="4" t="s">
        <v>53</v>
      </c>
    </row>
    <row r="131" spans="1:3" x14ac:dyDescent="0.25">
      <c r="A131" s="4">
        <v>94</v>
      </c>
      <c r="B131" s="4" t="s">
        <v>53</v>
      </c>
      <c r="C131" s="4" t="s">
        <v>53</v>
      </c>
    </row>
    <row r="132" spans="1:3" x14ac:dyDescent="0.25">
      <c r="A132" s="4">
        <v>95</v>
      </c>
      <c r="B132" s="4" t="s">
        <v>54</v>
      </c>
      <c r="C132" s="4" t="s">
        <v>53</v>
      </c>
    </row>
    <row r="133" spans="1:3" x14ac:dyDescent="0.25">
      <c r="A133" s="4">
        <v>96</v>
      </c>
      <c r="B133" s="4" t="s">
        <v>53</v>
      </c>
      <c r="C133" s="4" t="s">
        <v>53</v>
      </c>
    </row>
    <row r="134" spans="1:3" x14ac:dyDescent="0.25">
      <c r="A134" s="4">
        <v>97</v>
      </c>
      <c r="B134" s="4" t="s">
        <v>54</v>
      </c>
      <c r="C134" s="4" t="s">
        <v>53</v>
      </c>
    </row>
    <row r="135" spans="1:3" x14ac:dyDescent="0.25">
      <c r="A135" s="4">
        <v>98</v>
      </c>
      <c r="B135" s="4" t="s">
        <v>53</v>
      </c>
      <c r="C135" s="4" t="s">
        <v>53</v>
      </c>
    </row>
    <row r="136" spans="1:3" x14ac:dyDescent="0.25">
      <c r="A136" s="4">
        <v>99</v>
      </c>
      <c r="B136" s="4" t="s">
        <v>54</v>
      </c>
      <c r="C136" s="4" t="s">
        <v>53</v>
      </c>
    </row>
    <row r="137" spans="1:3" x14ac:dyDescent="0.25">
      <c r="A137" s="4">
        <v>100</v>
      </c>
      <c r="B137" s="4" t="s">
        <v>54</v>
      </c>
      <c r="C137" s="4" t="s">
        <v>53</v>
      </c>
    </row>
    <row r="138" spans="1:3" x14ac:dyDescent="0.25">
      <c r="A138" s="4">
        <v>101</v>
      </c>
      <c r="B138" s="4" t="s">
        <v>53</v>
      </c>
      <c r="C138" s="4" t="s">
        <v>53</v>
      </c>
    </row>
    <row r="139" spans="1:3" x14ac:dyDescent="0.25">
      <c r="A139" s="4">
        <v>102</v>
      </c>
      <c r="B139" s="4" t="s">
        <v>53</v>
      </c>
      <c r="C139" s="4" t="s">
        <v>53</v>
      </c>
    </row>
    <row r="140" spans="1:3" x14ac:dyDescent="0.25">
      <c r="A140" s="4">
        <v>103</v>
      </c>
      <c r="B140" s="4" t="s">
        <v>54</v>
      </c>
      <c r="C140" s="4" t="s">
        <v>53</v>
      </c>
    </row>
    <row r="141" spans="1:3" x14ac:dyDescent="0.25">
      <c r="A141" s="4">
        <v>104</v>
      </c>
      <c r="B141" s="4" t="s">
        <v>54</v>
      </c>
      <c r="C141" s="4" t="s">
        <v>54</v>
      </c>
    </row>
    <row r="142" spans="1:3" x14ac:dyDescent="0.25">
      <c r="A142" s="4">
        <v>105</v>
      </c>
      <c r="B142" s="4" t="s">
        <v>54</v>
      </c>
      <c r="C142" s="4" t="s">
        <v>53</v>
      </c>
    </row>
    <row r="143" spans="1:3" x14ac:dyDescent="0.25">
      <c r="A143" s="4">
        <v>106</v>
      </c>
      <c r="B143" s="4" t="s">
        <v>53</v>
      </c>
      <c r="C143" s="4" t="s">
        <v>53</v>
      </c>
    </row>
    <row r="144" spans="1:3" x14ac:dyDescent="0.25">
      <c r="A144" s="4">
        <v>107</v>
      </c>
      <c r="B144" s="4" t="s">
        <v>53</v>
      </c>
      <c r="C144" s="4" t="s">
        <v>53</v>
      </c>
    </row>
    <row r="145" spans="1:3" x14ac:dyDescent="0.25">
      <c r="A145" s="4">
        <v>108</v>
      </c>
      <c r="B145" s="4" t="s">
        <v>53</v>
      </c>
      <c r="C145" s="4" t="s">
        <v>53</v>
      </c>
    </row>
    <row r="146" spans="1:3" x14ac:dyDescent="0.25">
      <c r="A146" s="4">
        <v>109</v>
      </c>
      <c r="B146" s="4" t="s">
        <v>54</v>
      </c>
      <c r="C146" s="4" t="s">
        <v>53</v>
      </c>
    </row>
    <row r="147" spans="1:3" x14ac:dyDescent="0.25">
      <c r="A147" s="4">
        <v>110</v>
      </c>
      <c r="B147" s="4" t="s">
        <v>54</v>
      </c>
      <c r="C147" s="4" t="s">
        <v>53</v>
      </c>
    </row>
    <row r="148" spans="1:3" x14ac:dyDescent="0.25">
      <c r="A148" s="4">
        <v>111</v>
      </c>
      <c r="B148" s="4" t="s">
        <v>54</v>
      </c>
      <c r="C148" s="4" t="s">
        <v>53</v>
      </c>
    </row>
    <row r="149" spans="1:3" x14ac:dyDescent="0.25">
      <c r="A149" s="4">
        <v>112</v>
      </c>
      <c r="B149" s="4" t="s">
        <v>54</v>
      </c>
      <c r="C149" s="4" t="s">
        <v>53</v>
      </c>
    </row>
    <row r="150" spans="1:3" x14ac:dyDescent="0.25">
      <c r="A150" s="4">
        <v>113</v>
      </c>
      <c r="B150" s="4" t="s">
        <v>53</v>
      </c>
      <c r="C150" s="4" t="s">
        <v>53</v>
      </c>
    </row>
    <row r="151" spans="1:3" x14ac:dyDescent="0.25">
      <c r="A151" s="4">
        <v>114</v>
      </c>
      <c r="B151" s="4" t="s">
        <v>53</v>
      </c>
      <c r="C151" s="4" t="s">
        <v>53</v>
      </c>
    </row>
    <row r="152" spans="1:3" x14ac:dyDescent="0.25">
      <c r="A152" s="4">
        <v>115</v>
      </c>
      <c r="B152" s="4" t="s">
        <v>53</v>
      </c>
      <c r="C152" s="4" t="s">
        <v>53</v>
      </c>
    </row>
    <row r="153" spans="1:3" x14ac:dyDescent="0.25">
      <c r="A153" s="4">
        <v>116</v>
      </c>
      <c r="B153" s="4" t="s">
        <v>54</v>
      </c>
      <c r="C153" s="4" t="s">
        <v>53</v>
      </c>
    </row>
    <row r="154" spans="1:3" x14ac:dyDescent="0.25">
      <c r="A154" s="4">
        <v>117</v>
      </c>
      <c r="B154" s="4" t="s">
        <v>53</v>
      </c>
      <c r="C154" s="4" t="s">
        <v>53</v>
      </c>
    </row>
    <row r="155" spans="1:3" x14ac:dyDescent="0.25">
      <c r="A155" s="4">
        <v>118</v>
      </c>
      <c r="B155" s="4" t="s">
        <v>53</v>
      </c>
      <c r="C155" s="4" t="s">
        <v>53</v>
      </c>
    </row>
    <row r="156" spans="1:3" x14ac:dyDescent="0.25">
      <c r="A156" s="4">
        <v>119</v>
      </c>
      <c r="B156" s="4" t="s">
        <v>54</v>
      </c>
      <c r="C156" s="4" t="s">
        <v>53</v>
      </c>
    </row>
    <row r="157" spans="1:3" x14ac:dyDescent="0.25">
      <c r="A157" s="4">
        <v>120</v>
      </c>
      <c r="B157" s="4" t="s">
        <v>54</v>
      </c>
      <c r="C157" s="4" t="s">
        <v>53</v>
      </c>
    </row>
    <row r="158" spans="1:3" x14ac:dyDescent="0.25">
      <c r="A158" s="4">
        <v>121</v>
      </c>
      <c r="B158" s="4" t="s">
        <v>54</v>
      </c>
      <c r="C158" s="4" t="s">
        <v>53</v>
      </c>
    </row>
    <row r="159" spans="1:3" x14ac:dyDescent="0.25">
      <c r="A159" s="4">
        <v>122</v>
      </c>
      <c r="B159" s="4" t="s">
        <v>54</v>
      </c>
      <c r="C159" s="4" t="s">
        <v>53</v>
      </c>
    </row>
    <row r="160" spans="1:3" x14ac:dyDescent="0.25">
      <c r="A160" s="4">
        <v>123</v>
      </c>
      <c r="B160" s="4" t="s">
        <v>54</v>
      </c>
      <c r="C160" s="4" t="s">
        <v>53</v>
      </c>
    </row>
    <row r="161" spans="1:3" x14ac:dyDescent="0.25">
      <c r="A161" s="4">
        <v>124</v>
      </c>
      <c r="B161" s="4" t="s">
        <v>54</v>
      </c>
      <c r="C161" s="4" t="s">
        <v>53</v>
      </c>
    </row>
    <row r="162" spans="1:3" x14ac:dyDescent="0.25">
      <c r="A162" s="4">
        <v>125</v>
      </c>
      <c r="B162" s="4" t="s">
        <v>54</v>
      </c>
      <c r="C162" s="4" t="s">
        <v>53</v>
      </c>
    </row>
    <row r="163" spans="1:3" x14ac:dyDescent="0.25">
      <c r="A163" s="4">
        <v>126</v>
      </c>
      <c r="B163" s="4" t="s">
        <v>54</v>
      </c>
      <c r="C163" s="4" t="s">
        <v>54</v>
      </c>
    </row>
    <row r="164" spans="1:3" x14ac:dyDescent="0.25">
      <c r="A164" s="4">
        <v>127</v>
      </c>
      <c r="B164" s="4" t="s">
        <v>53</v>
      </c>
      <c r="C164" s="4" t="s">
        <v>53</v>
      </c>
    </row>
    <row r="165" spans="1:3" x14ac:dyDescent="0.25">
      <c r="A165" s="4">
        <v>128</v>
      </c>
      <c r="B165" s="4" t="s">
        <v>53</v>
      </c>
      <c r="C165" s="4" t="s">
        <v>53</v>
      </c>
    </row>
    <row r="166" spans="1:3" x14ac:dyDescent="0.25">
      <c r="A166" s="4">
        <v>129</v>
      </c>
      <c r="B166" s="4" t="s">
        <v>53</v>
      </c>
      <c r="C166" s="4" t="s">
        <v>53</v>
      </c>
    </row>
    <row r="167" spans="1:3" x14ac:dyDescent="0.25">
      <c r="A167" s="4">
        <v>130</v>
      </c>
      <c r="B167" s="4" t="s">
        <v>53</v>
      </c>
      <c r="C167" s="4" t="s">
        <v>53</v>
      </c>
    </row>
    <row r="168" spans="1:3" x14ac:dyDescent="0.25">
      <c r="A168" s="4">
        <v>131</v>
      </c>
      <c r="B168" s="4" t="s">
        <v>54</v>
      </c>
      <c r="C168" s="4" t="s">
        <v>53</v>
      </c>
    </row>
    <row r="169" spans="1:3" x14ac:dyDescent="0.25">
      <c r="A169" s="4">
        <v>132</v>
      </c>
      <c r="B169" s="4" t="s">
        <v>54</v>
      </c>
      <c r="C169" s="4" t="s">
        <v>53</v>
      </c>
    </row>
    <row r="170" spans="1:3" x14ac:dyDescent="0.25">
      <c r="A170" s="4">
        <v>133</v>
      </c>
      <c r="B170" s="4" t="s">
        <v>53</v>
      </c>
      <c r="C170" s="4" t="s">
        <v>53</v>
      </c>
    </row>
    <row r="171" spans="1:3" x14ac:dyDescent="0.25">
      <c r="A171" s="4">
        <v>134</v>
      </c>
      <c r="B171" s="4" t="s">
        <v>54</v>
      </c>
      <c r="C171" s="4" t="s">
        <v>53</v>
      </c>
    </row>
    <row r="172" spans="1:3" x14ac:dyDescent="0.25">
      <c r="A172" s="4">
        <v>135</v>
      </c>
      <c r="B172" s="4" t="s">
        <v>54</v>
      </c>
      <c r="C172" s="4" t="s">
        <v>54</v>
      </c>
    </row>
    <row r="173" spans="1:3" x14ac:dyDescent="0.25">
      <c r="A173" s="4">
        <v>136</v>
      </c>
      <c r="B173" s="4" t="s">
        <v>54</v>
      </c>
      <c r="C173" s="4" t="s">
        <v>53</v>
      </c>
    </row>
    <row r="174" spans="1:3" x14ac:dyDescent="0.25">
      <c r="A174" s="4">
        <v>137</v>
      </c>
      <c r="B174" s="4" t="s">
        <v>53</v>
      </c>
      <c r="C174" s="4" t="s">
        <v>53</v>
      </c>
    </row>
    <row r="175" spans="1:3" x14ac:dyDescent="0.25">
      <c r="A175" s="4">
        <v>138</v>
      </c>
      <c r="B175" s="4" t="s">
        <v>54</v>
      </c>
      <c r="C175" s="4" t="s">
        <v>53</v>
      </c>
    </row>
    <row r="176" spans="1:3" x14ac:dyDescent="0.25">
      <c r="A176" s="4">
        <v>139</v>
      </c>
      <c r="B176" s="4" t="s">
        <v>53</v>
      </c>
      <c r="C176" s="4" t="s">
        <v>53</v>
      </c>
    </row>
    <row r="177" spans="1:3" x14ac:dyDescent="0.25">
      <c r="A177" s="4">
        <v>140</v>
      </c>
      <c r="B177" s="4" t="s">
        <v>53</v>
      </c>
      <c r="C177" s="4" t="s">
        <v>53</v>
      </c>
    </row>
    <row r="178" spans="1:3" x14ac:dyDescent="0.25">
      <c r="A178" s="4">
        <v>141</v>
      </c>
      <c r="B178" s="4" t="s">
        <v>54</v>
      </c>
      <c r="C178" s="4" t="s">
        <v>53</v>
      </c>
    </row>
    <row r="179" spans="1:3" x14ac:dyDescent="0.25">
      <c r="A179" s="4">
        <v>142</v>
      </c>
      <c r="B179" s="4" t="s">
        <v>53</v>
      </c>
      <c r="C179" s="4" t="s">
        <v>53</v>
      </c>
    </row>
    <row r="180" spans="1:3" x14ac:dyDescent="0.25">
      <c r="A180" s="4">
        <v>143</v>
      </c>
      <c r="B180" s="4" t="s">
        <v>54</v>
      </c>
      <c r="C180" s="4" t="s">
        <v>53</v>
      </c>
    </row>
    <row r="181" spans="1:3" x14ac:dyDescent="0.25">
      <c r="A181" s="4">
        <v>144</v>
      </c>
      <c r="B181" s="4" t="s">
        <v>54</v>
      </c>
      <c r="C181" s="4" t="s">
        <v>53</v>
      </c>
    </row>
    <row r="182" spans="1:3" x14ac:dyDescent="0.25">
      <c r="A182" s="4">
        <v>145</v>
      </c>
      <c r="B182" s="4" t="s">
        <v>54</v>
      </c>
      <c r="C182" s="4" t="s">
        <v>53</v>
      </c>
    </row>
    <row r="183" spans="1:3" x14ac:dyDescent="0.25">
      <c r="A183" s="4">
        <v>146</v>
      </c>
      <c r="B183" s="4" t="s">
        <v>54</v>
      </c>
      <c r="C183" s="4" t="s">
        <v>53</v>
      </c>
    </row>
    <row r="184" spans="1:3" x14ac:dyDescent="0.25">
      <c r="A184" s="4">
        <v>147</v>
      </c>
      <c r="B184" s="4" t="s">
        <v>54</v>
      </c>
      <c r="C184" s="4" t="s">
        <v>53</v>
      </c>
    </row>
    <row r="185" spans="1:3" x14ac:dyDescent="0.25">
      <c r="A185" s="4">
        <v>148</v>
      </c>
      <c r="B185" s="4" t="s">
        <v>53</v>
      </c>
      <c r="C185" s="4" t="s">
        <v>53</v>
      </c>
    </row>
    <row r="186" spans="1:3" x14ac:dyDescent="0.25">
      <c r="A186" s="4">
        <v>149</v>
      </c>
      <c r="B186" s="4" t="s">
        <v>53</v>
      </c>
      <c r="C186" s="4" t="s">
        <v>53</v>
      </c>
    </row>
    <row r="187" spans="1:3" x14ac:dyDescent="0.25">
      <c r="A187" s="4">
        <v>150</v>
      </c>
      <c r="B187" s="4" t="s">
        <v>53</v>
      </c>
      <c r="C187" s="4" t="s">
        <v>53</v>
      </c>
    </row>
    <row r="188" spans="1:3" x14ac:dyDescent="0.25">
      <c r="A188" s="4">
        <v>151</v>
      </c>
      <c r="B188" s="4" t="s">
        <v>53</v>
      </c>
      <c r="C188" s="4" t="s">
        <v>53</v>
      </c>
    </row>
    <row r="189" spans="1:3" x14ac:dyDescent="0.25">
      <c r="A189" s="4">
        <v>152</v>
      </c>
      <c r="B189" s="4" t="s">
        <v>54</v>
      </c>
      <c r="C189" s="4" t="s">
        <v>53</v>
      </c>
    </row>
    <row r="190" spans="1:3" x14ac:dyDescent="0.25">
      <c r="A190" s="4">
        <v>153</v>
      </c>
      <c r="B190" s="4" t="s">
        <v>53</v>
      </c>
      <c r="C190" s="4" t="s">
        <v>53</v>
      </c>
    </row>
    <row r="191" spans="1:3" x14ac:dyDescent="0.25">
      <c r="A191" s="4">
        <v>154</v>
      </c>
      <c r="B191" s="4" t="s">
        <v>53</v>
      </c>
      <c r="C191" s="4" t="s">
        <v>53</v>
      </c>
    </row>
    <row r="192" spans="1:3" x14ac:dyDescent="0.25">
      <c r="A192" s="4">
        <v>155</v>
      </c>
      <c r="B192" s="4" t="s">
        <v>54</v>
      </c>
      <c r="C192" s="4" t="s">
        <v>53</v>
      </c>
    </row>
    <row r="193" spans="1:3" x14ac:dyDescent="0.25">
      <c r="A193" s="4">
        <v>156</v>
      </c>
      <c r="B193" s="4" t="s">
        <v>54</v>
      </c>
      <c r="C193" s="4" t="s">
        <v>53</v>
      </c>
    </row>
    <row r="194" spans="1:3" x14ac:dyDescent="0.25">
      <c r="A194" s="4">
        <v>157</v>
      </c>
      <c r="B194" s="4" t="s">
        <v>54</v>
      </c>
      <c r="C194" s="4" t="s">
        <v>53</v>
      </c>
    </row>
    <row r="195" spans="1:3" x14ac:dyDescent="0.25">
      <c r="A195" s="4">
        <v>158</v>
      </c>
      <c r="B195" s="4" t="s">
        <v>54</v>
      </c>
      <c r="C195" s="4" t="s">
        <v>53</v>
      </c>
    </row>
    <row r="196" spans="1:3" x14ac:dyDescent="0.25">
      <c r="A196" s="4">
        <v>159</v>
      </c>
      <c r="B196" s="4" t="s">
        <v>54</v>
      </c>
      <c r="C196" s="4" t="s">
        <v>53</v>
      </c>
    </row>
    <row r="197" spans="1:3" x14ac:dyDescent="0.25">
      <c r="A197" s="4">
        <v>160</v>
      </c>
      <c r="B197" s="4" t="s">
        <v>54</v>
      </c>
      <c r="C197" s="4" t="s">
        <v>53</v>
      </c>
    </row>
    <row r="198" spans="1:3" x14ac:dyDescent="0.25">
      <c r="A198" s="4">
        <v>161</v>
      </c>
      <c r="B198" s="4" t="s">
        <v>54</v>
      </c>
      <c r="C198" s="4" t="s">
        <v>53</v>
      </c>
    </row>
    <row r="199" spans="1:3" x14ac:dyDescent="0.25">
      <c r="A199" s="4">
        <v>162</v>
      </c>
      <c r="B199" s="4" t="s">
        <v>53</v>
      </c>
      <c r="C199" s="4" t="s">
        <v>53</v>
      </c>
    </row>
    <row r="200" spans="1:3" x14ac:dyDescent="0.25">
      <c r="A200" s="4">
        <v>163</v>
      </c>
      <c r="B200" s="4" t="s">
        <v>54</v>
      </c>
      <c r="C200" s="4" t="s">
        <v>53</v>
      </c>
    </row>
    <row r="201" spans="1:3" x14ac:dyDescent="0.25">
      <c r="A201" s="4">
        <v>164</v>
      </c>
      <c r="B201" s="4" t="s">
        <v>54</v>
      </c>
      <c r="C201" s="4" t="s">
        <v>53</v>
      </c>
    </row>
    <row r="202" spans="1:3" x14ac:dyDescent="0.25">
      <c r="A202" s="4">
        <v>165</v>
      </c>
      <c r="B202" s="4" t="s">
        <v>53</v>
      </c>
      <c r="C202" s="4" t="s">
        <v>53</v>
      </c>
    </row>
    <row r="203" spans="1:3" x14ac:dyDescent="0.25">
      <c r="A203" s="4">
        <v>166</v>
      </c>
      <c r="B203" s="4" t="s">
        <v>53</v>
      </c>
      <c r="C203" s="4" t="s">
        <v>53</v>
      </c>
    </row>
    <row r="204" spans="1:3" x14ac:dyDescent="0.25">
      <c r="A204" s="4">
        <v>167</v>
      </c>
      <c r="B204" s="4" t="s">
        <v>53</v>
      </c>
      <c r="C204" s="4" t="s">
        <v>53</v>
      </c>
    </row>
    <row r="205" spans="1:3" x14ac:dyDescent="0.25">
      <c r="A205" s="4">
        <v>168</v>
      </c>
      <c r="B205" s="4" t="s">
        <v>54</v>
      </c>
      <c r="C205" s="4" t="s">
        <v>53</v>
      </c>
    </row>
    <row r="206" spans="1:3" x14ac:dyDescent="0.25">
      <c r="A206" s="4">
        <v>169</v>
      </c>
      <c r="B206" s="4" t="s">
        <v>54</v>
      </c>
      <c r="C206" s="4" t="s">
        <v>53</v>
      </c>
    </row>
    <row r="207" spans="1:3" x14ac:dyDescent="0.25">
      <c r="A207" s="4">
        <v>170</v>
      </c>
      <c r="B207" s="4" t="s">
        <v>54</v>
      </c>
      <c r="C207" s="4" t="s">
        <v>53</v>
      </c>
    </row>
    <row r="208" spans="1:3" x14ac:dyDescent="0.25">
      <c r="A208" s="4">
        <v>171</v>
      </c>
      <c r="B208" s="4" t="s">
        <v>53</v>
      </c>
      <c r="C208" s="4" t="s">
        <v>53</v>
      </c>
    </row>
    <row r="209" spans="1:3" x14ac:dyDescent="0.25">
      <c r="A209" s="4">
        <v>172</v>
      </c>
      <c r="B209" s="4" t="s">
        <v>54</v>
      </c>
      <c r="C209" s="4" t="s">
        <v>53</v>
      </c>
    </row>
    <row r="210" spans="1:3" x14ac:dyDescent="0.25">
      <c r="A210" s="4">
        <v>173</v>
      </c>
      <c r="B210" s="4" t="s">
        <v>53</v>
      </c>
      <c r="C210" s="4" t="s">
        <v>53</v>
      </c>
    </row>
    <row r="211" spans="1:3" x14ac:dyDescent="0.25">
      <c r="A211" s="4">
        <v>174</v>
      </c>
      <c r="B211" s="4" t="s">
        <v>54</v>
      </c>
      <c r="C211" s="4" t="s">
        <v>53</v>
      </c>
    </row>
    <row r="212" spans="1:3" x14ac:dyDescent="0.25">
      <c r="A212" s="4">
        <v>175</v>
      </c>
      <c r="B212" s="4" t="s">
        <v>53</v>
      </c>
      <c r="C212" s="4" t="s">
        <v>53</v>
      </c>
    </row>
    <row r="213" spans="1:3" x14ac:dyDescent="0.25">
      <c r="A213" s="4">
        <v>176</v>
      </c>
      <c r="B213" s="4" t="s">
        <v>53</v>
      </c>
      <c r="C213" s="4" t="s">
        <v>53</v>
      </c>
    </row>
    <row r="214" spans="1:3" x14ac:dyDescent="0.25">
      <c r="A214" s="4">
        <v>177</v>
      </c>
      <c r="B214" s="4" t="s">
        <v>54</v>
      </c>
      <c r="C214" s="4" t="s">
        <v>53</v>
      </c>
    </row>
    <row r="215" spans="1:3" x14ac:dyDescent="0.25">
      <c r="A215" s="4">
        <v>178</v>
      </c>
      <c r="B215" s="4" t="s">
        <v>54</v>
      </c>
      <c r="C215" s="4" t="s">
        <v>53</v>
      </c>
    </row>
    <row r="216" spans="1:3" x14ac:dyDescent="0.25">
      <c r="A216" s="4">
        <v>179</v>
      </c>
      <c r="B216" s="4" t="s">
        <v>54</v>
      </c>
      <c r="C216" s="4" t="s">
        <v>53</v>
      </c>
    </row>
    <row r="217" spans="1:3" x14ac:dyDescent="0.25">
      <c r="A217" s="4">
        <v>180</v>
      </c>
      <c r="B217" s="4" t="s">
        <v>53</v>
      </c>
      <c r="C217" s="4" t="s">
        <v>53</v>
      </c>
    </row>
    <row r="218" spans="1:3" x14ac:dyDescent="0.25">
      <c r="A218" s="4">
        <v>181</v>
      </c>
      <c r="B218" s="4" t="s">
        <v>53</v>
      </c>
      <c r="C218" s="4" t="s">
        <v>53</v>
      </c>
    </row>
    <row r="219" spans="1:3" x14ac:dyDescent="0.25">
      <c r="A219" s="4">
        <v>182</v>
      </c>
      <c r="B219" s="4" t="s">
        <v>53</v>
      </c>
      <c r="C219" s="4" t="s">
        <v>53</v>
      </c>
    </row>
    <row r="220" spans="1:3" x14ac:dyDescent="0.25">
      <c r="A220" s="4">
        <v>183</v>
      </c>
      <c r="B220" s="4" t="s">
        <v>54</v>
      </c>
      <c r="C220" s="4" t="s">
        <v>53</v>
      </c>
    </row>
    <row r="221" spans="1:3" x14ac:dyDescent="0.25">
      <c r="A221" s="4">
        <v>184</v>
      </c>
      <c r="B221" s="4" t="s">
        <v>54</v>
      </c>
      <c r="C221" s="4" t="s">
        <v>53</v>
      </c>
    </row>
    <row r="222" spans="1:3" x14ac:dyDescent="0.25">
      <c r="A222" s="4">
        <v>185</v>
      </c>
      <c r="B222" s="4" t="s">
        <v>53</v>
      </c>
      <c r="C222" s="4" t="s">
        <v>53</v>
      </c>
    </row>
    <row r="223" spans="1:3" x14ac:dyDescent="0.25">
      <c r="A223" s="4">
        <v>186</v>
      </c>
      <c r="B223" s="4" t="s">
        <v>54</v>
      </c>
      <c r="C223" s="4" t="s">
        <v>53</v>
      </c>
    </row>
    <row r="224" spans="1:3" x14ac:dyDescent="0.25">
      <c r="A224" s="4">
        <v>187</v>
      </c>
      <c r="B224" s="4" t="s">
        <v>53</v>
      </c>
      <c r="C224" s="4" t="s">
        <v>53</v>
      </c>
    </row>
    <row r="225" spans="1:3" x14ac:dyDescent="0.25">
      <c r="A225" s="4">
        <v>188</v>
      </c>
      <c r="B225" s="4" t="s">
        <v>53</v>
      </c>
      <c r="C225" s="4" t="s">
        <v>53</v>
      </c>
    </row>
    <row r="226" spans="1:3" x14ac:dyDescent="0.25">
      <c r="A226" s="4">
        <v>189</v>
      </c>
      <c r="B226" s="4" t="s">
        <v>53</v>
      </c>
      <c r="C226" s="4" t="s">
        <v>53</v>
      </c>
    </row>
    <row r="227" spans="1:3" x14ac:dyDescent="0.25">
      <c r="A227" s="4">
        <v>190</v>
      </c>
      <c r="B227" s="4" t="s">
        <v>53</v>
      </c>
      <c r="C227" s="4" t="s">
        <v>53</v>
      </c>
    </row>
    <row r="228" spans="1:3" x14ac:dyDescent="0.25">
      <c r="A228" s="4">
        <v>191</v>
      </c>
      <c r="B228" s="4" t="s">
        <v>54</v>
      </c>
      <c r="C228" s="4" t="s">
        <v>53</v>
      </c>
    </row>
    <row r="229" spans="1:3" x14ac:dyDescent="0.25">
      <c r="A229" s="4">
        <v>192</v>
      </c>
      <c r="B229" s="4" t="s">
        <v>53</v>
      </c>
      <c r="C229" s="4" t="s">
        <v>53</v>
      </c>
    </row>
    <row r="230" spans="1:3" x14ac:dyDescent="0.25">
      <c r="A230" s="4">
        <v>193</v>
      </c>
      <c r="B230" s="4" t="s">
        <v>54</v>
      </c>
      <c r="C230" s="4" t="s">
        <v>54</v>
      </c>
    </row>
    <row r="231" spans="1:3" x14ac:dyDescent="0.25">
      <c r="A231" s="4">
        <v>194</v>
      </c>
      <c r="B231" s="4" t="s">
        <v>54</v>
      </c>
      <c r="C231" s="4" t="s">
        <v>53</v>
      </c>
    </row>
    <row r="232" spans="1:3" x14ac:dyDescent="0.25">
      <c r="A232" s="4">
        <v>195</v>
      </c>
      <c r="B232" s="4" t="s">
        <v>53</v>
      </c>
      <c r="C232" s="4" t="s">
        <v>53</v>
      </c>
    </row>
    <row r="233" spans="1:3" x14ac:dyDescent="0.25">
      <c r="A233" s="4">
        <v>196</v>
      </c>
      <c r="B233" s="4" t="s">
        <v>54</v>
      </c>
      <c r="C233" s="4" t="s">
        <v>53</v>
      </c>
    </row>
    <row r="234" spans="1:3" x14ac:dyDescent="0.25">
      <c r="A234" s="4">
        <v>197</v>
      </c>
      <c r="B234" s="4" t="s">
        <v>53</v>
      </c>
      <c r="C234" s="4" t="s">
        <v>53</v>
      </c>
    </row>
    <row r="235" spans="1:3" x14ac:dyDescent="0.25">
      <c r="A235" s="4">
        <v>198</v>
      </c>
      <c r="B235" s="4" t="s">
        <v>53</v>
      </c>
      <c r="C235" s="4" t="s">
        <v>53</v>
      </c>
    </row>
    <row r="236" spans="1:3" x14ac:dyDescent="0.25">
      <c r="A236" s="4">
        <v>199</v>
      </c>
      <c r="B236" s="4" t="s">
        <v>53</v>
      </c>
      <c r="C236" s="4" t="s">
        <v>53</v>
      </c>
    </row>
    <row r="237" spans="1:3" x14ac:dyDescent="0.25">
      <c r="A237" s="4">
        <v>200</v>
      </c>
      <c r="B237" s="4" t="s">
        <v>54</v>
      </c>
      <c r="C237" s="4" t="s">
        <v>53</v>
      </c>
    </row>
  </sheetData>
  <sortState xmlns:xlrd2="http://schemas.microsoft.com/office/spreadsheetml/2017/richdata2" ref="L4:L31">
    <sortCondition ref="L4:L3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903C-F3E7-4435-A07B-F416B042F6AF}">
  <dimension ref="F2:AC102"/>
  <sheetViews>
    <sheetView topLeftCell="A4" zoomScaleNormal="100" workbookViewId="0">
      <selection activeCell="M28" sqref="M28"/>
    </sheetView>
  </sheetViews>
  <sheetFormatPr defaultRowHeight="15" x14ac:dyDescent="0.25"/>
  <cols>
    <col min="8" max="8" width="24.85546875" customWidth="1"/>
    <col min="17" max="17" width="9.28515625" customWidth="1"/>
    <col min="18" max="18" width="8.140625" customWidth="1"/>
    <col min="22" max="22" width="11.85546875" customWidth="1"/>
    <col min="23" max="23" width="14.42578125" customWidth="1"/>
    <col min="24" max="24" width="10.140625" customWidth="1"/>
    <col min="27" max="27" width="18.7109375" customWidth="1"/>
    <col min="28" max="28" width="19.140625" customWidth="1"/>
  </cols>
  <sheetData>
    <row r="2" spans="6:28" x14ac:dyDescent="0.25">
      <c r="F2" s="2" t="s">
        <v>59</v>
      </c>
      <c r="G2" s="2" t="s">
        <v>60</v>
      </c>
      <c r="H2" s="2" t="s">
        <v>63</v>
      </c>
      <c r="I2" s="2" t="s">
        <v>61</v>
      </c>
      <c r="V2" t="s">
        <v>151</v>
      </c>
    </row>
    <row r="3" spans="6:28" ht="19.5" customHeight="1" x14ac:dyDescent="0.25">
      <c r="F3" cm="1">
        <f t="array" ref="F3:F102">_xlfn.SEQUENCE(100)</f>
        <v>1</v>
      </c>
      <c r="G3">
        <v>4</v>
      </c>
      <c r="H3">
        <f>COUNTIF(G3:G102,6)</f>
        <v>17</v>
      </c>
      <c r="U3" s="58" t="s">
        <v>118</v>
      </c>
      <c r="V3" s="58"/>
      <c r="W3" s="58"/>
      <c r="X3" s="4" t="s">
        <v>154</v>
      </c>
      <c r="Y3" s="4" t="s">
        <v>152</v>
      </c>
      <c r="Z3" s="4" t="s">
        <v>153</v>
      </c>
      <c r="AA3" s="4" t="s">
        <v>156</v>
      </c>
      <c r="AB3" s="4" t="s">
        <v>155</v>
      </c>
    </row>
    <row r="4" spans="6:28" x14ac:dyDescent="0.25">
      <c r="F4">
        <v>2</v>
      </c>
      <c r="G4">
        <v>3</v>
      </c>
      <c r="P4" t="e">
        <f>_xlfn.STDEV.S(O4:O13)</f>
        <v>#DIV/0!</v>
      </c>
      <c r="U4" s="58"/>
      <c r="V4" s="58"/>
      <c r="W4" s="58"/>
      <c r="X4" s="4" t="e">
        <f>COVAR(V4:V13,W4:W13)</f>
        <v>#DIV/0!</v>
      </c>
      <c r="Y4" s="4" t="e">
        <f>VAR(V4:V13)</f>
        <v>#DIV/0!</v>
      </c>
      <c r="Z4" s="4" t="e">
        <f>VAR(W4:W13)</f>
        <v>#DIV/0!</v>
      </c>
      <c r="AA4" s="4" t="e">
        <f>_xlfn.COVARIANCE.S(V4:V13,W4:W13)/(_xlfn.STDEV.S(V4:V13)*_xlfn.STDEV.S(W4:W13))</f>
        <v>#DIV/0!</v>
      </c>
      <c r="AB4" s="66" t="e">
        <f>CORREL(V4:V13,W4:W13)</f>
        <v>#DIV/0!</v>
      </c>
    </row>
    <row r="5" spans="6:28" x14ac:dyDescent="0.25">
      <c r="F5">
        <v>3</v>
      </c>
      <c r="G5">
        <v>2</v>
      </c>
      <c r="U5" s="58"/>
      <c r="V5" s="58"/>
      <c r="W5" s="58"/>
      <c r="X5" s="4"/>
      <c r="Y5" s="4"/>
      <c r="Z5" s="4"/>
      <c r="AB5" s="4"/>
    </row>
    <row r="6" spans="6:28" x14ac:dyDescent="0.25">
      <c r="F6">
        <v>4</v>
      </c>
      <c r="G6">
        <v>4</v>
      </c>
      <c r="H6" s="2" t="s">
        <v>62</v>
      </c>
      <c r="U6" s="58"/>
      <c r="V6" s="58"/>
      <c r="W6" s="58"/>
      <c r="X6" s="4"/>
      <c r="Y6" s="4"/>
      <c r="Z6" s="4"/>
      <c r="AA6" s="4"/>
      <c r="AB6" s="4"/>
    </row>
    <row r="7" spans="6:28" x14ac:dyDescent="0.25">
      <c r="F7">
        <v>5</v>
      </c>
      <c r="G7">
        <v>1</v>
      </c>
      <c r="H7">
        <f>17/100</f>
        <v>0.17</v>
      </c>
      <c r="U7" s="58"/>
      <c r="V7" s="58"/>
      <c r="W7" s="58"/>
      <c r="X7" s="4"/>
      <c r="Y7" s="4"/>
      <c r="Z7" s="4"/>
      <c r="AA7" s="4"/>
      <c r="AB7" s="4"/>
    </row>
    <row r="8" spans="6:28" x14ac:dyDescent="0.25">
      <c r="F8">
        <v>6</v>
      </c>
      <c r="G8">
        <v>5</v>
      </c>
      <c r="H8">
        <f>(17/100)*100</f>
        <v>17</v>
      </c>
      <c r="U8" s="58"/>
      <c r="V8" s="58"/>
      <c r="W8" s="58"/>
      <c r="X8" s="4"/>
      <c r="Z8" s="4"/>
      <c r="AA8" s="4"/>
      <c r="AB8" s="4"/>
    </row>
    <row r="9" spans="6:28" x14ac:dyDescent="0.25">
      <c r="F9">
        <v>7</v>
      </c>
      <c r="G9">
        <v>6</v>
      </c>
      <c r="U9" s="58"/>
      <c r="V9" s="58"/>
      <c r="W9" s="58"/>
      <c r="X9" s="4"/>
      <c r="Y9" s="4"/>
      <c r="Z9" s="4"/>
      <c r="AA9" s="4"/>
      <c r="AB9" s="4"/>
    </row>
    <row r="10" spans="6:28" x14ac:dyDescent="0.25">
      <c r="F10">
        <v>8</v>
      </c>
      <c r="G10">
        <v>4</v>
      </c>
      <c r="U10" s="58"/>
      <c r="V10" s="58"/>
      <c r="W10" s="58"/>
      <c r="X10" s="4"/>
      <c r="Y10" s="4"/>
      <c r="Z10" s="4"/>
      <c r="AA10" s="4"/>
      <c r="AB10" s="4"/>
    </row>
    <row r="11" spans="6:28" x14ac:dyDescent="0.25">
      <c r="F11">
        <v>9</v>
      </c>
      <c r="G11">
        <v>1</v>
      </c>
      <c r="U11" s="58"/>
      <c r="V11" s="58"/>
      <c r="W11" s="58"/>
      <c r="X11" s="4"/>
      <c r="Y11" s="4"/>
      <c r="Z11" s="4"/>
      <c r="AA11" s="4"/>
      <c r="AB11" s="4"/>
    </row>
    <row r="12" spans="6:28" x14ac:dyDescent="0.25">
      <c r="F12">
        <v>10</v>
      </c>
      <c r="G12">
        <v>2</v>
      </c>
      <c r="U12" s="58"/>
      <c r="V12" s="58"/>
      <c r="W12" s="58"/>
      <c r="X12" s="4"/>
      <c r="Y12" s="4"/>
      <c r="Z12" s="4"/>
      <c r="AA12" s="4"/>
      <c r="AB12" s="4"/>
    </row>
    <row r="13" spans="6:28" x14ac:dyDescent="0.25">
      <c r="F13">
        <v>11</v>
      </c>
      <c r="G13">
        <v>1</v>
      </c>
      <c r="U13" s="58"/>
      <c r="V13" s="58"/>
      <c r="W13" s="58"/>
      <c r="X13" s="4"/>
      <c r="Y13" s="4"/>
      <c r="Z13" s="4"/>
      <c r="AA13" s="4" t="e">
        <f>(SQRT(Y4)*SQRT(Z4))</f>
        <v>#DIV/0!</v>
      </c>
      <c r="AB13" s="4"/>
    </row>
    <row r="14" spans="6:28" x14ac:dyDescent="0.25">
      <c r="F14">
        <v>12</v>
      </c>
      <c r="G14">
        <v>2</v>
      </c>
    </row>
    <row r="15" spans="6:28" x14ac:dyDescent="0.25">
      <c r="F15">
        <v>13</v>
      </c>
      <c r="G15">
        <v>3</v>
      </c>
    </row>
    <row r="16" spans="6:28" x14ac:dyDescent="0.25">
      <c r="F16">
        <v>14</v>
      </c>
      <c r="G16">
        <v>5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6:29" x14ac:dyDescent="0.25">
      <c r="F17">
        <v>15</v>
      </c>
      <c r="G17">
        <v>6</v>
      </c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Z17" t="s">
        <v>158</v>
      </c>
    </row>
    <row r="18" spans="6:29" x14ac:dyDescent="0.25">
      <c r="F18">
        <v>16</v>
      </c>
      <c r="G18">
        <v>1</v>
      </c>
      <c r="M18" s="58"/>
      <c r="N18" s="58" t="s">
        <v>118</v>
      </c>
      <c r="O18" s="58"/>
      <c r="P18" s="58"/>
      <c r="Q18" s="58"/>
      <c r="R18" s="58"/>
      <c r="S18" s="58"/>
      <c r="T18" s="58"/>
      <c r="U18" s="58"/>
      <c r="V18" s="58"/>
      <c r="W18" s="58"/>
      <c r="Y18" s="47"/>
      <c r="Z18" s="47" t="s">
        <v>118</v>
      </c>
      <c r="AA18" s="47" t="s">
        <v>159</v>
      </c>
      <c r="AB18" s="47"/>
      <c r="AC18" s="47"/>
    </row>
    <row r="19" spans="6:29" x14ac:dyDescent="0.25">
      <c r="F19">
        <v>17</v>
      </c>
      <c r="G19">
        <v>4</v>
      </c>
      <c r="L19">
        <f>_xlfn.BINOM.DIST(K19,5,0.5,FALSE)</f>
        <v>3.125E-2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Y19" s="38"/>
      <c r="Z19" s="38">
        <v>1</v>
      </c>
      <c r="AA19" s="38">
        <v>78</v>
      </c>
      <c r="AB19" s="38"/>
      <c r="AC19" s="38"/>
    </row>
    <row r="20" spans="6:29" x14ac:dyDescent="0.25">
      <c r="F20">
        <v>18</v>
      </c>
      <c r="G20">
        <v>6</v>
      </c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Y20" s="38"/>
      <c r="Z20" s="38">
        <v>2</v>
      </c>
      <c r="AA20" s="38">
        <v>82</v>
      </c>
      <c r="AB20" s="38"/>
      <c r="AC20" s="38"/>
    </row>
    <row r="21" spans="6:29" x14ac:dyDescent="0.25">
      <c r="F21">
        <v>19</v>
      </c>
      <c r="G21">
        <v>5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Y21" s="38"/>
      <c r="Z21" s="38">
        <v>3</v>
      </c>
      <c r="AA21" s="38">
        <v>85</v>
      </c>
      <c r="AB21" s="38"/>
      <c r="AC21" s="38"/>
    </row>
    <row r="22" spans="6:29" x14ac:dyDescent="0.25">
      <c r="F22">
        <v>20</v>
      </c>
      <c r="G22">
        <v>2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Y22" s="38"/>
      <c r="Z22" s="38">
        <v>4</v>
      </c>
      <c r="AA22" s="38">
        <v>79</v>
      </c>
      <c r="AB22" s="38"/>
      <c r="AC22" s="38"/>
    </row>
    <row r="23" spans="6:29" x14ac:dyDescent="0.25">
      <c r="F23">
        <v>21</v>
      </c>
      <c r="G23">
        <v>2</v>
      </c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Y23" s="38"/>
      <c r="Z23" s="38">
        <v>5</v>
      </c>
      <c r="AA23" s="38">
        <v>81</v>
      </c>
      <c r="AB23" s="38"/>
      <c r="AC23" s="38"/>
    </row>
    <row r="24" spans="6:29" x14ac:dyDescent="0.25">
      <c r="F24">
        <v>22</v>
      </c>
      <c r="G24">
        <v>5</v>
      </c>
      <c r="L24">
        <f>_xlfn.BINOM.DIST(K24,5,0.1,FALSE)</f>
        <v>0.59048999999999996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Y24" s="38"/>
      <c r="Z24" s="38">
        <v>6</v>
      </c>
      <c r="AA24" s="38">
        <v>76</v>
      </c>
      <c r="AB24" s="38"/>
      <c r="AC24" s="38"/>
    </row>
    <row r="25" spans="6:29" x14ac:dyDescent="0.25">
      <c r="F25">
        <v>23</v>
      </c>
      <c r="G25">
        <v>5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Y25" s="38"/>
      <c r="Z25" s="38">
        <v>7</v>
      </c>
      <c r="AA25" s="38">
        <v>84</v>
      </c>
      <c r="AB25" s="38"/>
      <c r="AC25" s="38"/>
    </row>
    <row r="26" spans="6:29" x14ac:dyDescent="0.25">
      <c r="F26">
        <v>24</v>
      </c>
      <c r="G26">
        <v>2</v>
      </c>
      <c r="H26">
        <f>(B9-AVERAGE(G26:G35))/_xlfn.STDEV.S(G26:G35)</f>
        <v>-2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Y26" s="38"/>
      <c r="Z26" s="38">
        <v>8</v>
      </c>
      <c r="AA26" s="38">
        <v>80</v>
      </c>
      <c r="AB26" s="38"/>
      <c r="AC26" s="38"/>
    </row>
    <row r="27" spans="6:29" x14ac:dyDescent="0.25">
      <c r="F27" s="4">
        <v>25</v>
      </c>
      <c r="G27" s="4">
        <v>2</v>
      </c>
      <c r="H27" s="4">
        <f>(B10-AVERAGE(G27:G36))/_xlfn.STDEV.S(G27:G36)</f>
        <v>-2.1634097809573385</v>
      </c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Y27" s="38"/>
      <c r="Z27" s="38">
        <v>9</v>
      </c>
      <c r="AA27" s="38">
        <v>77</v>
      </c>
      <c r="AB27" s="38"/>
      <c r="AC27" s="38"/>
    </row>
    <row r="28" spans="6:29" x14ac:dyDescent="0.25">
      <c r="F28" s="50">
        <v>26</v>
      </c>
      <c r="G28" s="50"/>
      <c r="H28" s="50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Y28" s="38"/>
      <c r="Z28" s="38">
        <v>10</v>
      </c>
      <c r="AA28" s="38">
        <v>83</v>
      </c>
      <c r="AB28" s="38"/>
      <c r="AC28" s="38"/>
    </row>
    <row r="29" spans="6:29" x14ac:dyDescent="0.25">
      <c r="F29">
        <v>27</v>
      </c>
      <c r="G29">
        <v>6</v>
      </c>
      <c r="M29" s="58"/>
      <c r="N29" s="58" t="s">
        <v>157</v>
      </c>
      <c r="O29" s="58"/>
      <c r="P29" s="58"/>
      <c r="Q29" s="58"/>
      <c r="R29" s="58"/>
      <c r="S29" s="58"/>
      <c r="T29" s="58"/>
      <c r="U29" s="58"/>
      <c r="V29" s="58"/>
      <c r="W29" s="58"/>
    </row>
    <row r="30" spans="6:29" x14ac:dyDescent="0.25">
      <c r="F30">
        <v>28</v>
      </c>
      <c r="G30">
        <v>1</v>
      </c>
      <c r="M30" s="58"/>
      <c r="N30" s="60" t="s">
        <v>147</v>
      </c>
      <c r="O30" s="60" t="s">
        <v>148</v>
      </c>
      <c r="P30" s="60" t="s">
        <v>149</v>
      </c>
      <c r="Q30" s="60" t="s">
        <v>142</v>
      </c>
      <c r="R30" s="60" t="s">
        <v>141</v>
      </c>
      <c r="S30" s="58"/>
      <c r="T30" s="58"/>
      <c r="U30" s="58"/>
      <c r="V30" s="58"/>
      <c r="W30" s="58"/>
    </row>
    <row r="31" spans="6:29" x14ac:dyDescent="0.25">
      <c r="F31">
        <v>29</v>
      </c>
      <c r="G31">
        <v>5</v>
      </c>
      <c r="M31" s="58"/>
      <c r="N31" s="60">
        <v>1</v>
      </c>
      <c r="O31" s="60">
        <v>3</v>
      </c>
      <c r="P31" s="60">
        <v>5</v>
      </c>
      <c r="Q31" s="60">
        <f>_xlfn.COVARIANCE.S(O31:O35,P31:P35)</f>
        <v>7.4499999999999993</v>
      </c>
      <c r="R31" s="60">
        <f>_xlfn.COVARIANCE.P(O31:O35,P31:P35)</f>
        <v>5.9599999999999991</v>
      </c>
      <c r="S31" s="58"/>
      <c r="T31" s="58"/>
      <c r="U31" s="58"/>
      <c r="V31" s="58"/>
      <c r="W31" s="58"/>
    </row>
    <row r="32" spans="6:29" x14ac:dyDescent="0.25">
      <c r="F32">
        <v>30</v>
      </c>
      <c r="G32">
        <v>6</v>
      </c>
      <c r="M32" s="58"/>
      <c r="N32" s="60">
        <v>2</v>
      </c>
      <c r="O32" s="60">
        <v>2</v>
      </c>
      <c r="P32" s="60">
        <v>4.5</v>
      </c>
      <c r="Q32" s="60"/>
      <c r="R32" s="60"/>
      <c r="S32" s="58" t="s">
        <v>150</v>
      </c>
      <c r="T32" s="58"/>
      <c r="U32" s="58"/>
      <c r="V32" s="58"/>
      <c r="W32" s="58"/>
    </row>
    <row r="33" spans="6:26" x14ac:dyDescent="0.25">
      <c r="F33">
        <v>31</v>
      </c>
      <c r="G33">
        <v>3</v>
      </c>
      <c r="M33" s="58"/>
      <c r="N33" s="60">
        <v>3</v>
      </c>
      <c r="O33" s="60">
        <v>6</v>
      </c>
      <c r="P33" s="60">
        <v>9</v>
      </c>
      <c r="Q33" s="60"/>
      <c r="R33" s="60"/>
      <c r="S33" s="58"/>
      <c r="T33" s="58"/>
      <c r="U33" s="58"/>
      <c r="V33" s="58"/>
      <c r="W33" s="58"/>
      <c r="Y33" s="47"/>
      <c r="Z33" s="47"/>
    </row>
    <row r="34" spans="6:26" x14ac:dyDescent="0.25">
      <c r="F34">
        <v>32</v>
      </c>
      <c r="G34">
        <v>6</v>
      </c>
      <c r="M34" s="58"/>
      <c r="N34" s="60">
        <v>4</v>
      </c>
      <c r="O34" s="60">
        <v>1</v>
      </c>
      <c r="P34" s="60">
        <v>1</v>
      </c>
      <c r="Q34" s="60"/>
      <c r="R34" s="60"/>
      <c r="S34" s="58"/>
      <c r="T34" s="58"/>
      <c r="U34" s="58"/>
      <c r="V34" s="58"/>
      <c r="W34" s="58"/>
      <c r="Y34" s="38"/>
      <c r="Z34" s="38"/>
    </row>
    <row r="35" spans="6:26" x14ac:dyDescent="0.25">
      <c r="F35">
        <v>33</v>
      </c>
      <c r="G35">
        <v>5</v>
      </c>
      <c r="M35" s="58"/>
      <c r="N35" s="60">
        <v>5</v>
      </c>
      <c r="O35" s="60">
        <v>0</v>
      </c>
      <c r="P35" s="60">
        <v>1</v>
      </c>
      <c r="Q35" s="60"/>
      <c r="R35" s="60"/>
      <c r="S35" s="58"/>
      <c r="T35" s="58"/>
      <c r="U35" s="58"/>
      <c r="V35" s="58"/>
      <c r="W35" s="58"/>
      <c r="Y35" s="38"/>
      <c r="Z35" s="38"/>
    </row>
    <row r="36" spans="6:26" x14ac:dyDescent="0.25">
      <c r="F36">
        <v>34</v>
      </c>
      <c r="G36">
        <v>3</v>
      </c>
      <c r="Y36" s="38"/>
      <c r="Z36" s="38"/>
    </row>
    <row r="37" spans="6:26" x14ac:dyDescent="0.25">
      <c r="F37">
        <v>35</v>
      </c>
      <c r="G37">
        <v>1</v>
      </c>
      <c r="Y37" s="38"/>
      <c r="Z37" s="38"/>
    </row>
    <row r="38" spans="6:26" x14ac:dyDescent="0.25">
      <c r="F38">
        <v>36</v>
      </c>
      <c r="G38">
        <v>4</v>
      </c>
      <c r="Y38" s="38"/>
      <c r="Z38" s="38"/>
    </row>
    <row r="39" spans="6:26" x14ac:dyDescent="0.25">
      <c r="F39">
        <v>37</v>
      </c>
      <c r="G39">
        <v>1</v>
      </c>
      <c r="Y39" s="38"/>
      <c r="Z39" s="38"/>
    </row>
    <row r="40" spans="6:26" x14ac:dyDescent="0.25">
      <c r="F40">
        <v>38</v>
      </c>
      <c r="G40">
        <v>6</v>
      </c>
      <c r="Y40" s="38"/>
      <c r="Z40" s="38"/>
    </row>
    <row r="41" spans="6:26" x14ac:dyDescent="0.25">
      <c r="F41">
        <v>39</v>
      </c>
      <c r="G41">
        <v>4</v>
      </c>
      <c r="Y41" s="38"/>
      <c r="Z41" s="38"/>
    </row>
    <row r="42" spans="6:26" x14ac:dyDescent="0.25">
      <c r="F42">
        <v>40</v>
      </c>
      <c r="G42">
        <v>3</v>
      </c>
      <c r="Y42" s="38"/>
      <c r="Z42" s="38"/>
    </row>
    <row r="43" spans="6:26" x14ac:dyDescent="0.25">
      <c r="F43">
        <v>41</v>
      </c>
      <c r="G43">
        <v>5</v>
      </c>
      <c r="Y43" s="38"/>
      <c r="Z43" s="38"/>
    </row>
    <row r="44" spans="6:26" x14ac:dyDescent="0.25">
      <c r="F44">
        <v>42</v>
      </c>
      <c r="G44">
        <v>1</v>
      </c>
    </row>
    <row r="45" spans="6:26" x14ac:dyDescent="0.25">
      <c r="F45">
        <v>43</v>
      </c>
      <c r="G45">
        <v>5</v>
      </c>
    </row>
    <row r="46" spans="6:26" x14ac:dyDescent="0.25">
      <c r="F46">
        <v>44</v>
      </c>
      <c r="G46">
        <v>5</v>
      </c>
    </row>
    <row r="47" spans="6:26" x14ac:dyDescent="0.25">
      <c r="F47">
        <v>45</v>
      </c>
      <c r="G47">
        <v>4</v>
      </c>
    </row>
    <row r="48" spans="6:26" x14ac:dyDescent="0.25">
      <c r="F48">
        <v>46</v>
      </c>
      <c r="G48">
        <v>2</v>
      </c>
    </row>
    <row r="49" spans="6:7" x14ac:dyDescent="0.25">
      <c r="F49">
        <v>47</v>
      </c>
      <c r="G49">
        <v>6</v>
      </c>
    </row>
    <row r="50" spans="6:7" x14ac:dyDescent="0.25">
      <c r="F50">
        <v>48</v>
      </c>
      <c r="G50">
        <v>1</v>
      </c>
    </row>
    <row r="51" spans="6:7" x14ac:dyDescent="0.25">
      <c r="F51">
        <v>49</v>
      </c>
      <c r="G51">
        <v>6</v>
      </c>
    </row>
    <row r="52" spans="6:7" x14ac:dyDescent="0.25">
      <c r="F52">
        <v>50</v>
      </c>
      <c r="G52">
        <v>1</v>
      </c>
    </row>
    <row r="53" spans="6:7" x14ac:dyDescent="0.25">
      <c r="F53">
        <v>51</v>
      </c>
      <c r="G53">
        <v>6</v>
      </c>
    </row>
    <row r="54" spans="6:7" x14ac:dyDescent="0.25">
      <c r="F54">
        <v>52</v>
      </c>
      <c r="G54">
        <v>5</v>
      </c>
    </row>
    <row r="55" spans="6:7" x14ac:dyDescent="0.25">
      <c r="F55">
        <v>53</v>
      </c>
      <c r="G55">
        <v>3</v>
      </c>
    </row>
    <row r="56" spans="6:7" x14ac:dyDescent="0.25">
      <c r="F56">
        <v>54</v>
      </c>
      <c r="G56">
        <v>6</v>
      </c>
    </row>
    <row r="57" spans="6:7" x14ac:dyDescent="0.25">
      <c r="F57">
        <v>55</v>
      </c>
      <c r="G57">
        <v>2</v>
      </c>
    </row>
    <row r="58" spans="6:7" x14ac:dyDescent="0.25">
      <c r="F58">
        <v>56</v>
      </c>
      <c r="G58">
        <v>2</v>
      </c>
    </row>
    <row r="59" spans="6:7" x14ac:dyDescent="0.25">
      <c r="F59">
        <v>57</v>
      </c>
      <c r="G59">
        <v>6</v>
      </c>
    </row>
    <row r="60" spans="6:7" x14ac:dyDescent="0.25">
      <c r="F60">
        <v>58</v>
      </c>
      <c r="G60">
        <v>5</v>
      </c>
    </row>
    <row r="61" spans="6:7" x14ac:dyDescent="0.25">
      <c r="F61">
        <v>59</v>
      </c>
      <c r="G61">
        <v>1</v>
      </c>
    </row>
    <row r="62" spans="6:7" x14ac:dyDescent="0.25">
      <c r="F62">
        <v>60</v>
      </c>
      <c r="G62">
        <v>4</v>
      </c>
    </row>
    <row r="63" spans="6:7" x14ac:dyDescent="0.25">
      <c r="F63">
        <v>61</v>
      </c>
      <c r="G63">
        <v>6</v>
      </c>
    </row>
    <row r="64" spans="6:7" x14ac:dyDescent="0.25">
      <c r="F64">
        <v>62</v>
      </c>
      <c r="G64">
        <v>6</v>
      </c>
    </row>
    <row r="65" spans="6:7" x14ac:dyDescent="0.25">
      <c r="F65">
        <v>63</v>
      </c>
      <c r="G65">
        <v>3</v>
      </c>
    </row>
    <row r="66" spans="6:7" x14ac:dyDescent="0.25">
      <c r="F66">
        <v>64</v>
      </c>
      <c r="G66">
        <v>5</v>
      </c>
    </row>
    <row r="67" spans="6:7" x14ac:dyDescent="0.25">
      <c r="F67">
        <v>65</v>
      </c>
      <c r="G67">
        <v>2</v>
      </c>
    </row>
    <row r="68" spans="6:7" x14ac:dyDescent="0.25">
      <c r="F68">
        <v>66</v>
      </c>
      <c r="G68">
        <v>3</v>
      </c>
    </row>
    <row r="69" spans="6:7" x14ac:dyDescent="0.25">
      <c r="F69">
        <v>67</v>
      </c>
      <c r="G69">
        <v>5</v>
      </c>
    </row>
    <row r="70" spans="6:7" x14ac:dyDescent="0.25">
      <c r="F70">
        <v>68</v>
      </c>
      <c r="G70">
        <v>3</v>
      </c>
    </row>
    <row r="71" spans="6:7" x14ac:dyDescent="0.25">
      <c r="F71">
        <v>69</v>
      </c>
      <c r="G71">
        <v>4</v>
      </c>
    </row>
    <row r="72" spans="6:7" x14ac:dyDescent="0.25">
      <c r="F72">
        <v>70</v>
      </c>
      <c r="G72">
        <v>6</v>
      </c>
    </row>
    <row r="73" spans="6:7" x14ac:dyDescent="0.25">
      <c r="F73">
        <v>71</v>
      </c>
      <c r="G73">
        <v>2</v>
      </c>
    </row>
    <row r="74" spans="6:7" x14ac:dyDescent="0.25">
      <c r="F74">
        <v>72</v>
      </c>
      <c r="G74">
        <v>4</v>
      </c>
    </row>
    <row r="75" spans="6:7" x14ac:dyDescent="0.25">
      <c r="F75">
        <v>73</v>
      </c>
      <c r="G75">
        <v>3</v>
      </c>
    </row>
    <row r="76" spans="6:7" x14ac:dyDescent="0.25">
      <c r="F76">
        <v>74</v>
      </c>
      <c r="G76">
        <v>3</v>
      </c>
    </row>
    <row r="77" spans="6:7" x14ac:dyDescent="0.25">
      <c r="F77">
        <v>75</v>
      </c>
      <c r="G77">
        <v>5</v>
      </c>
    </row>
    <row r="78" spans="6:7" x14ac:dyDescent="0.25">
      <c r="F78">
        <v>76</v>
      </c>
      <c r="G78">
        <v>5</v>
      </c>
    </row>
    <row r="79" spans="6:7" x14ac:dyDescent="0.25">
      <c r="F79">
        <v>77</v>
      </c>
      <c r="G79">
        <v>2</v>
      </c>
    </row>
    <row r="80" spans="6:7" x14ac:dyDescent="0.25">
      <c r="F80">
        <v>78</v>
      </c>
      <c r="G80">
        <v>2</v>
      </c>
    </row>
    <row r="81" spans="6:7" x14ac:dyDescent="0.25">
      <c r="F81">
        <v>79</v>
      </c>
      <c r="G81">
        <v>4</v>
      </c>
    </row>
    <row r="82" spans="6:7" x14ac:dyDescent="0.25">
      <c r="F82">
        <v>80</v>
      </c>
      <c r="G82">
        <v>4</v>
      </c>
    </row>
    <row r="83" spans="6:7" x14ac:dyDescent="0.25">
      <c r="F83">
        <v>81</v>
      </c>
      <c r="G83">
        <v>2</v>
      </c>
    </row>
    <row r="84" spans="6:7" x14ac:dyDescent="0.25">
      <c r="F84">
        <v>82</v>
      </c>
      <c r="G84">
        <v>3</v>
      </c>
    </row>
    <row r="85" spans="6:7" x14ac:dyDescent="0.25">
      <c r="F85">
        <v>83</v>
      </c>
      <c r="G85">
        <v>2</v>
      </c>
    </row>
    <row r="86" spans="6:7" x14ac:dyDescent="0.25">
      <c r="F86">
        <v>84</v>
      </c>
      <c r="G86">
        <v>5</v>
      </c>
    </row>
    <row r="87" spans="6:7" x14ac:dyDescent="0.25">
      <c r="F87">
        <v>85</v>
      </c>
      <c r="G87">
        <v>6</v>
      </c>
    </row>
    <row r="88" spans="6:7" x14ac:dyDescent="0.25">
      <c r="F88">
        <v>86</v>
      </c>
      <c r="G88">
        <v>2</v>
      </c>
    </row>
    <row r="89" spans="6:7" x14ac:dyDescent="0.25">
      <c r="F89">
        <v>87</v>
      </c>
      <c r="G89">
        <v>1</v>
      </c>
    </row>
    <row r="90" spans="6:7" x14ac:dyDescent="0.25">
      <c r="F90">
        <v>88</v>
      </c>
      <c r="G90">
        <v>2</v>
      </c>
    </row>
    <row r="91" spans="6:7" x14ac:dyDescent="0.25">
      <c r="F91">
        <v>89</v>
      </c>
      <c r="G91">
        <v>5</v>
      </c>
    </row>
    <row r="92" spans="6:7" x14ac:dyDescent="0.25">
      <c r="F92">
        <v>90</v>
      </c>
      <c r="G92">
        <v>5</v>
      </c>
    </row>
    <row r="93" spans="6:7" x14ac:dyDescent="0.25">
      <c r="F93">
        <v>91</v>
      </c>
      <c r="G93">
        <v>2</v>
      </c>
    </row>
    <row r="94" spans="6:7" x14ac:dyDescent="0.25">
      <c r="F94">
        <v>92</v>
      </c>
      <c r="G94">
        <v>3</v>
      </c>
    </row>
    <row r="95" spans="6:7" x14ac:dyDescent="0.25">
      <c r="F95">
        <v>93</v>
      </c>
      <c r="G95">
        <v>2</v>
      </c>
    </row>
    <row r="96" spans="6:7" x14ac:dyDescent="0.25">
      <c r="F96">
        <v>94</v>
      </c>
      <c r="G96">
        <v>5</v>
      </c>
    </row>
    <row r="97" spans="6:7" x14ac:dyDescent="0.25">
      <c r="F97">
        <v>95</v>
      </c>
      <c r="G97">
        <v>3</v>
      </c>
    </row>
    <row r="98" spans="6:7" x14ac:dyDescent="0.25">
      <c r="F98">
        <v>96</v>
      </c>
      <c r="G98">
        <v>3</v>
      </c>
    </row>
    <row r="99" spans="6:7" x14ac:dyDescent="0.25">
      <c r="F99">
        <v>97</v>
      </c>
      <c r="G99">
        <v>6</v>
      </c>
    </row>
    <row r="100" spans="6:7" x14ac:dyDescent="0.25">
      <c r="F100">
        <v>98</v>
      </c>
      <c r="G100">
        <v>1</v>
      </c>
    </row>
    <row r="101" spans="6:7" x14ac:dyDescent="0.25">
      <c r="F101">
        <v>99</v>
      </c>
      <c r="G101">
        <v>2</v>
      </c>
    </row>
    <row r="102" spans="6:7" x14ac:dyDescent="0.25">
      <c r="F102">
        <v>100</v>
      </c>
      <c r="G102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7447-8BBD-4493-9FB0-B6114BB7068E}">
  <dimension ref="A2:AC54"/>
  <sheetViews>
    <sheetView topLeftCell="A4" zoomScaleNormal="100" workbookViewId="0">
      <selection activeCell="M28" sqref="M28"/>
    </sheetView>
  </sheetViews>
  <sheetFormatPr defaultRowHeight="15" x14ac:dyDescent="0.25"/>
  <cols>
    <col min="2" max="2" width="13.5703125" customWidth="1"/>
    <col min="3" max="3" width="16" customWidth="1"/>
    <col min="4" max="4" width="18.28515625" customWidth="1"/>
    <col min="17" max="17" width="9.28515625" customWidth="1"/>
    <col min="18" max="18" width="8.140625" customWidth="1"/>
    <col min="22" max="22" width="11.85546875" customWidth="1"/>
    <col min="23" max="23" width="14.42578125" customWidth="1"/>
    <col min="24" max="24" width="10.140625" customWidth="1"/>
    <col min="27" max="27" width="18.7109375" customWidth="1"/>
    <col min="28" max="28" width="19.140625" customWidth="1"/>
  </cols>
  <sheetData>
    <row r="2" spans="1:28" x14ac:dyDescent="0.25">
      <c r="V2" t="s">
        <v>151</v>
      </c>
    </row>
    <row r="3" spans="1:28" ht="19.5" customHeight="1" x14ac:dyDescent="0.25">
      <c r="U3" s="58" t="s">
        <v>118</v>
      </c>
      <c r="V3" s="58"/>
      <c r="W3" s="58"/>
      <c r="X3" s="4" t="s">
        <v>154</v>
      </c>
      <c r="Y3" s="4" t="s">
        <v>152</v>
      </c>
      <c r="Z3" s="4" t="s">
        <v>153</v>
      </c>
      <c r="AA3" s="4" t="s">
        <v>156</v>
      </c>
      <c r="AB3" s="4" t="s">
        <v>155</v>
      </c>
    </row>
    <row r="4" spans="1:28" x14ac:dyDescent="0.25">
      <c r="A4" s="2" t="s">
        <v>64</v>
      </c>
      <c r="B4" s="2" t="s">
        <v>69</v>
      </c>
      <c r="C4" s="2" t="s">
        <v>67</v>
      </c>
      <c r="D4" s="2" t="s">
        <v>68</v>
      </c>
      <c r="P4" t="e">
        <f>_xlfn.STDEV.S(O4:O13)</f>
        <v>#DIV/0!</v>
      </c>
      <c r="U4" s="58"/>
      <c r="V4" s="58"/>
      <c r="W4" s="58"/>
      <c r="X4" s="4" t="e">
        <f>COVAR(V4:V13,W4:W13)</f>
        <v>#DIV/0!</v>
      </c>
      <c r="Y4" s="4" t="e">
        <f>VAR(V4:V13)</f>
        <v>#DIV/0!</v>
      </c>
      <c r="Z4" s="4" t="e">
        <f>VAR(W4:W13)</f>
        <v>#DIV/0!</v>
      </c>
      <c r="AA4" s="4" t="e">
        <f>_xlfn.COVARIANCE.S(V4:V13,W4:W13)/(_xlfn.STDEV.S(V4:V13)*_xlfn.STDEV.S(W4:W13))</f>
        <v>#DIV/0!</v>
      </c>
      <c r="AB4" s="66" t="e">
        <f>CORREL(V4:V13,W4:W13)</f>
        <v>#DIV/0!</v>
      </c>
    </row>
    <row r="5" spans="1:28" x14ac:dyDescent="0.25">
      <c r="A5" cm="1">
        <f t="array" ref="A5:A54">_xlfn.SEQUENCE(50)</f>
        <v>1</v>
      </c>
      <c r="B5">
        <v>2</v>
      </c>
      <c r="C5">
        <f>COUNTIF(B5:B54,4)</f>
        <v>7</v>
      </c>
      <c r="D5">
        <f>COUNTIF(B5:B54,6)</f>
        <v>1</v>
      </c>
      <c r="F5" s="2" t="s">
        <v>65</v>
      </c>
      <c r="G5" s="2" t="s">
        <v>66</v>
      </c>
      <c r="H5" s="2"/>
      <c r="U5" s="58"/>
      <c r="V5" s="58"/>
      <c r="W5" s="58"/>
      <c r="X5" s="4"/>
      <c r="Y5" s="4"/>
      <c r="Z5" s="4"/>
      <c r="AB5" s="4"/>
    </row>
    <row r="6" spans="1:28" x14ac:dyDescent="0.25">
      <c r="A6">
        <v>2</v>
      </c>
      <c r="B6">
        <v>5</v>
      </c>
      <c r="F6">
        <f>COUNTIF(B5:B54,4)+COUNTIF(B5:B54,6)</f>
        <v>8</v>
      </c>
      <c r="U6" s="58"/>
      <c r="V6" s="58"/>
      <c r="W6" s="58"/>
      <c r="X6" s="4"/>
      <c r="Y6" s="4"/>
      <c r="Z6" s="4"/>
      <c r="AA6" s="4"/>
      <c r="AB6" s="4"/>
    </row>
    <row r="7" spans="1:28" x14ac:dyDescent="0.25">
      <c r="A7">
        <v>3</v>
      </c>
      <c r="B7">
        <v>1</v>
      </c>
      <c r="U7" s="58"/>
      <c r="V7" s="58"/>
      <c r="W7" s="58"/>
      <c r="X7" s="4"/>
      <c r="Y7" s="4"/>
      <c r="Z7" s="4"/>
      <c r="AA7" s="4"/>
      <c r="AB7" s="4"/>
    </row>
    <row r="8" spans="1:28" x14ac:dyDescent="0.25">
      <c r="A8">
        <v>4</v>
      </c>
      <c r="B8">
        <v>2</v>
      </c>
      <c r="U8" s="58"/>
      <c r="V8" s="58"/>
      <c r="W8" s="58"/>
      <c r="X8" s="4"/>
      <c r="Z8" s="4"/>
      <c r="AA8" s="4"/>
      <c r="AB8" s="4"/>
    </row>
    <row r="9" spans="1:28" x14ac:dyDescent="0.25">
      <c r="A9">
        <v>5</v>
      </c>
      <c r="B9">
        <v>2</v>
      </c>
      <c r="U9" s="58"/>
      <c r="V9" s="58"/>
      <c r="W9" s="58"/>
      <c r="X9" s="4"/>
      <c r="Y9" s="4"/>
      <c r="Z9" s="4"/>
      <c r="AA9" s="4"/>
      <c r="AB9" s="4"/>
    </row>
    <row r="10" spans="1:28" x14ac:dyDescent="0.25">
      <c r="A10">
        <v>6</v>
      </c>
      <c r="B10">
        <v>1</v>
      </c>
      <c r="U10" s="58"/>
      <c r="V10" s="58"/>
      <c r="W10" s="58"/>
      <c r="X10" s="4"/>
      <c r="Y10" s="4"/>
      <c r="Z10" s="4"/>
      <c r="AA10" s="4"/>
      <c r="AB10" s="4"/>
    </row>
    <row r="11" spans="1:28" x14ac:dyDescent="0.25">
      <c r="A11">
        <v>7</v>
      </c>
      <c r="B11">
        <v>3</v>
      </c>
      <c r="U11" s="58"/>
      <c r="V11" s="58"/>
      <c r="W11" s="58"/>
      <c r="X11" s="4"/>
      <c r="Y11" s="4"/>
      <c r="Z11" s="4"/>
      <c r="AA11" s="4"/>
      <c r="AB11" s="4"/>
    </row>
    <row r="12" spans="1:28" x14ac:dyDescent="0.25">
      <c r="A12">
        <v>8</v>
      </c>
      <c r="B12">
        <v>3</v>
      </c>
      <c r="U12" s="58"/>
      <c r="V12" s="58"/>
      <c r="W12" s="58"/>
      <c r="X12" s="4"/>
      <c r="Y12" s="4"/>
      <c r="Z12" s="4"/>
      <c r="AA12" s="4"/>
      <c r="AB12" s="4"/>
    </row>
    <row r="13" spans="1:28" x14ac:dyDescent="0.25">
      <c r="A13">
        <v>9</v>
      </c>
      <c r="B13">
        <v>2</v>
      </c>
      <c r="U13" s="58"/>
      <c r="V13" s="58"/>
      <c r="W13" s="58"/>
      <c r="X13" s="4"/>
      <c r="Y13" s="4"/>
      <c r="Z13" s="4"/>
      <c r="AA13" s="4" t="e">
        <f>(SQRT(Y4)*SQRT(Z4))</f>
        <v>#DIV/0!</v>
      </c>
      <c r="AB13" s="4"/>
    </row>
    <row r="14" spans="1:28" x14ac:dyDescent="0.25">
      <c r="A14">
        <v>10</v>
      </c>
      <c r="B14">
        <v>1</v>
      </c>
    </row>
    <row r="15" spans="1:28" x14ac:dyDescent="0.25">
      <c r="A15">
        <v>11</v>
      </c>
      <c r="B15">
        <v>1</v>
      </c>
    </row>
    <row r="16" spans="1:28" x14ac:dyDescent="0.25">
      <c r="A16">
        <v>12</v>
      </c>
      <c r="B16">
        <v>5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1:29" x14ac:dyDescent="0.25">
      <c r="A17">
        <v>13</v>
      </c>
      <c r="B17">
        <v>3</v>
      </c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Z17" t="s">
        <v>158</v>
      </c>
    </row>
    <row r="18" spans="1:29" x14ac:dyDescent="0.25">
      <c r="A18">
        <v>14</v>
      </c>
      <c r="B18">
        <v>6</v>
      </c>
      <c r="M18" s="58"/>
      <c r="N18" s="58" t="s">
        <v>118</v>
      </c>
      <c r="O18" s="58"/>
      <c r="P18" s="58"/>
      <c r="Q18" s="58"/>
      <c r="R18" s="58"/>
      <c r="S18" s="58"/>
      <c r="T18" s="58"/>
      <c r="U18" s="58"/>
      <c r="V18" s="58"/>
      <c r="W18" s="58"/>
      <c r="Y18" s="47"/>
      <c r="Z18" s="47" t="s">
        <v>118</v>
      </c>
      <c r="AA18" s="47" t="s">
        <v>159</v>
      </c>
      <c r="AB18" s="47"/>
      <c r="AC18" s="47"/>
    </row>
    <row r="19" spans="1:29" x14ac:dyDescent="0.25">
      <c r="A19">
        <v>15</v>
      </c>
      <c r="B19">
        <v>1</v>
      </c>
      <c r="L19">
        <f>_xlfn.BINOM.DIST(K19,5,0.5,FALSE)</f>
        <v>3.125E-2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Y19" s="38"/>
      <c r="Z19" s="38">
        <v>1</v>
      </c>
      <c r="AA19" s="38">
        <v>78</v>
      </c>
      <c r="AB19" s="38"/>
      <c r="AC19" s="38"/>
    </row>
    <row r="20" spans="1:29" x14ac:dyDescent="0.25">
      <c r="A20">
        <v>16</v>
      </c>
      <c r="B20">
        <v>1</v>
      </c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Y20" s="38"/>
      <c r="Z20" s="38">
        <v>2</v>
      </c>
      <c r="AA20" s="38">
        <v>82</v>
      </c>
      <c r="AB20" s="38"/>
      <c r="AC20" s="38"/>
    </row>
    <row r="21" spans="1:29" x14ac:dyDescent="0.25">
      <c r="A21">
        <v>17</v>
      </c>
      <c r="B21">
        <v>1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Y21" s="38"/>
      <c r="Z21" s="38">
        <v>3</v>
      </c>
      <c r="AA21" s="38">
        <v>85</v>
      </c>
      <c r="AB21" s="38"/>
      <c r="AC21" s="38"/>
    </row>
    <row r="22" spans="1:29" x14ac:dyDescent="0.25">
      <c r="A22">
        <v>18</v>
      </c>
      <c r="B22">
        <v>5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Y22" s="38"/>
      <c r="Z22" s="38">
        <v>4</v>
      </c>
      <c r="AA22" s="38">
        <v>79</v>
      </c>
      <c r="AB22" s="38"/>
      <c r="AC22" s="38"/>
    </row>
    <row r="23" spans="1:29" x14ac:dyDescent="0.25">
      <c r="A23">
        <v>19</v>
      </c>
      <c r="B23">
        <v>5</v>
      </c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Y23" s="38"/>
      <c r="Z23" s="38">
        <v>5</v>
      </c>
      <c r="AA23" s="38">
        <v>81</v>
      </c>
      <c r="AB23" s="38"/>
      <c r="AC23" s="38"/>
    </row>
    <row r="24" spans="1:29" x14ac:dyDescent="0.25">
      <c r="A24">
        <v>20</v>
      </c>
      <c r="B24">
        <v>2</v>
      </c>
      <c r="L24">
        <f>_xlfn.BINOM.DIST(K24,5,0.1,FALSE)</f>
        <v>0.59048999999999996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Y24" s="38"/>
      <c r="Z24" s="38">
        <v>6</v>
      </c>
      <c r="AA24" s="38">
        <v>76</v>
      </c>
      <c r="AB24" s="38"/>
      <c r="AC24" s="38"/>
    </row>
    <row r="25" spans="1:29" x14ac:dyDescent="0.25">
      <c r="A25">
        <v>21</v>
      </c>
      <c r="B25">
        <v>5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Y25" s="38"/>
      <c r="Z25" s="38">
        <v>7</v>
      </c>
      <c r="AA25" s="38">
        <v>84</v>
      </c>
      <c r="AB25" s="38"/>
      <c r="AC25" s="38"/>
    </row>
    <row r="26" spans="1:29" x14ac:dyDescent="0.25">
      <c r="A26">
        <v>22</v>
      </c>
      <c r="B26">
        <v>2</v>
      </c>
      <c r="H26" t="e">
        <f>(B9-AVERAGE(G26:G35))/_xlfn.STDEV.S(G26:G35)</f>
        <v>#DIV/0!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Y26" s="38"/>
      <c r="Z26" s="38">
        <v>8</v>
      </c>
      <c r="AA26" s="38">
        <v>80</v>
      </c>
      <c r="AB26" s="38"/>
      <c r="AC26" s="38"/>
    </row>
    <row r="27" spans="1:29" x14ac:dyDescent="0.25">
      <c r="A27">
        <v>23</v>
      </c>
      <c r="B27">
        <v>4</v>
      </c>
      <c r="F27" s="4"/>
      <c r="G27" s="4"/>
      <c r="H27" s="4" t="e">
        <f>(B10-AVERAGE(G27:G36))/_xlfn.STDEV.S(G27:G36)</f>
        <v>#DIV/0!</v>
      </c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Y27" s="38"/>
      <c r="Z27" s="38">
        <v>9</v>
      </c>
      <c r="AA27" s="38">
        <v>77</v>
      </c>
      <c r="AB27" s="38"/>
      <c r="AC27" s="38"/>
    </row>
    <row r="28" spans="1:29" x14ac:dyDescent="0.25">
      <c r="A28">
        <v>24</v>
      </c>
      <c r="B28">
        <v>5</v>
      </c>
      <c r="F28" s="50"/>
      <c r="G28" s="50"/>
      <c r="H28" s="50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Y28" s="38"/>
      <c r="Z28" s="38">
        <v>10</v>
      </c>
      <c r="AA28" s="38">
        <v>83</v>
      </c>
      <c r="AB28" s="38"/>
      <c r="AC28" s="38"/>
    </row>
    <row r="29" spans="1:29" x14ac:dyDescent="0.25">
      <c r="A29">
        <v>25</v>
      </c>
      <c r="B29">
        <v>5</v>
      </c>
      <c r="M29" s="58"/>
      <c r="N29" s="58" t="s">
        <v>157</v>
      </c>
      <c r="O29" s="58"/>
      <c r="P29" s="58"/>
      <c r="Q29" s="58"/>
      <c r="R29" s="58"/>
      <c r="S29" s="58"/>
      <c r="T29" s="58"/>
      <c r="U29" s="58"/>
      <c r="V29" s="58"/>
      <c r="W29" s="58"/>
    </row>
    <row r="30" spans="1:29" x14ac:dyDescent="0.25">
      <c r="A30">
        <v>26</v>
      </c>
      <c r="B30">
        <v>5</v>
      </c>
      <c r="M30" s="58"/>
      <c r="N30" s="60" t="s">
        <v>147</v>
      </c>
      <c r="O30" s="60" t="s">
        <v>148</v>
      </c>
      <c r="P30" s="60" t="s">
        <v>149</v>
      </c>
      <c r="Q30" s="60" t="s">
        <v>142</v>
      </c>
      <c r="R30" s="60" t="s">
        <v>141</v>
      </c>
      <c r="S30" s="58"/>
      <c r="T30" s="58"/>
      <c r="U30" s="58"/>
      <c r="V30" s="58"/>
      <c r="W30" s="58"/>
    </row>
    <row r="31" spans="1:29" x14ac:dyDescent="0.25">
      <c r="A31">
        <v>27</v>
      </c>
      <c r="B31">
        <v>2</v>
      </c>
      <c r="M31" s="58"/>
      <c r="N31" s="60">
        <v>1</v>
      </c>
      <c r="O31" s="60">
        <v>3</v>
      </c>
      <c r="P31" s="60">
        <v>5</v>
      </c>
      <c r="Q31" s="60">
        <f>_xlfn.COVARIANCE.S(O31:O35,P31:P35)</f>
        <v>7.4499999999999993</v>
      </c>
      <c r="R31" s="60">
        <f>_xlfn.COVARIANCE.P(O31:O35,P31:P35)</f>
        <v>5.9599999999999991</v>
      </c>
      <c r="S31" s="58"/>
      <c r="T31" s="58"/>
      <c r="U31" s="58"/>
      <c r="V31" s="58"/>
      <c r="W31" s="58"/>
    </row>
    <row r="32" spans="1:29" x14ac:dyDescent="0.25">
      <c r="A32">
        <v>28</v>
      </c>
      <c r="B32">
        <v>4</v>
      </c>
      <c r="M32" s="58"/>
      <c r="N32" s="60">
        <v>2</v>
      </c>
      <c r="O32" s="60">
        <v>2</v>
      </c>
      <c r="P32" s="60">
        <v>4.5</v>
      </c>
      <c r="Q32" s="60"/>
      <c r="R32" s="60"/>
      <c r="S32" s="58" t="s">
        <v>150</v>
      </c>
      <c r="T32" s="58"/>
      <c r="U32" s="58"/>
      <c r="V32" s="58"/>
      <c r="W32" s="58"/>
    </row>
    <row r="33" spans="1:26" x14ac:dyDescent="0.25">
      <c r="A33">
        <v>29</v>
      </c>
      <c r="B33">
        <v>3</v>
      </c>
      <c r="M33" s="58"/>
      <c r="N33" s="60">
        <v>3</v>
      </c>
      <c r="O33" s="60">
        <v>6</v>
      </c>
      <c r="P33" s="60">
        <v>9</v>
      </c>
      <c r="Q33" s="60"/>
      <c r="R33" s="60"/>
      <c r="S33" s="58"/>
      <c r="T33" s="58"/>
      <c r="U33" s="58"/>
      <c r="V33" s="58"/>
      <c r="W33" s="58"/>
      <c r="Y33" s="47"/>
      <c r="Z33" s="47"/>
    </row>
    <row r="34" spans="1:26" x14ac:dyDescent="0.25">
      <c r="A34">
        <v>30</v>
      </c>
      <c r="B34">
        <v>5</v>
      </c>
      <c r="M34" s="58"/>
      <c r="N34" s="60">
        <v>4</v>
      </c>
      <c r="O34" s="60">
        <v>1</v>
      </c>
      <c r="P34" s="60">
        <v>1</v>
      </c>
      <c r="Q34" s="60"/>
      <c r="R34" s="60"/>
      <c r="S34" s="58"/>
      <c r="T34" s="58"/>
      <c r="U34" s="58"/>
      <c r="V34" s="58"/>
      <c r="W34" s="58"/>
      <c r="Y34" s="38"/>
      <c r="Z34" s="38"/>
    </row>
    <row r="35" spans="1:26" x14ac:dyDescent="0.25">
      <c r="A35">
        <v>31</v>
      </c>
      <c r="B35">
        <v>3</v>
      </c>
      <c r="M35" s="58"/>
      <c r="N35" s="60">
        <v>5</v>
      </c>
      <c r="O35" s="60">
        <v>0</v>
      </c>
      <c r="P35" s="60">
        <v>1</v>
      </c>
      <c r="Q35" s="60"/>
      <c r="R35" s="60"/>
      <c r="S35" s="58"/>
      <c r="T35" s="58"/>
      <c r="U35" s="58"/>
      <c r="V35" s="58"/>
      <c r="W35" s="58"/>
      <c r="Y35" s="38"/>
      <c r="Z35" s="38"/>
    </row>
    <row r="36" spans="1:26" x14ac:dyDescent="0.25">
      <c r="A36">
        <v>32</v>
      </c>
      <c r="B36">
        <v>4</v>
      </c>
      <c r="Y36" s="38"/>
      <c r="Z36" s="38"/>
    </row>
    <row r="37" spans="1:26" x14ac:dyDescent="0.25">
      <c r="A37">
        <v>33</v>
      </c>
      <c r="B37">
        <v>2</v>
      </c>
      <c r="Y37" s="38"/>
      <c r="Z37" s="38"/>
    </row>
    <row r="38" spans="1:26" x14ac:dyDescent="0.25">
      <c r="A38">
        <v>34</v>
      </c>
      <c r="B38">
        <v>5</v>
      </c>
      <c r="Y38" s="38"/>
      <c r="Z38" s="38"/>
    </row>
    <row r="39" spans="1:26" x14ac:dyDescent="0.25">
      <c r="A39">
        <v>35</v>
      </c>
      <c r="B39">
        <v>1</v>
      </c>
      <c r="Y39" s="38"/>
      <c r="Z39" s="38"/>
    </row>
    <row r="40" spans="1:26" x14ac:dyDescent="0.25">
      <c r="A40">
        <v>36</v>
      </c>
      <c r="B40">
        <v>3</v>
      </c>
      <c r="Y40" s="38"/>
      <c r="Z40" s="38"/>
    </row>
    <row r="41" spans="1:26" x14ac:dyDescent="0.25">
      <c r="A41">
        <v>37</v>
      </c>
      <c r="B41">
        <v>1</v>
      </c>
      <c r="Y41" s="38"/>
      <c r="Z41" s="38"/>
    </row>
    <row r="42" spans="1:26" x14ac:dyDescent="0.25">
      <c r="A42">
        <v>38</v>
      </c>
      <c r="B42">
        <v>4</v>
      </c>
      <c r="Y42" s="38"/>
      <c r="Z42" s="38"/>
    </row>
    <row r="43" spans="1:26" x14ac:dyDescent="0.25">
      <c r="A43">
        <v>39</v>
      </c>
      <c r="B43">
        <v>3</v>
      </c>
      <c r="Y43" s="38"/>
      <c r="Z43" s="38"/>
    </row>
    <row r="44" spans="1:26" x14ac:dyDescent="0.25">
      <c r="A44">
        <v>40</v>
      </c>
      <c r="B44">
        <v>5</v>
      </c>
    </row>
    <row r="45" spans="1:26" x14ac:dyDescent="0.25">
      <c r="A45">
        <v>41</v>
      </c>
      <c r="B45">
        <v>2</v>
      </c>
    </row>
    <row r="46" spans="1:26" x14ac:dyDescent="0.25">
      <c r="A46">
        <v>42</v>
      </c>
      <c r="B46">
        <v>4</v>
      </c>
    </row>
    <row r="47" spans="1:26" x14ac:dyDescent="0.25">
      <c r="A47">
        <v>43</v>
      </c>
      <c r="B47">
        <v>4</v>
      </c>
    </row>
    <row r="48" spans="1:26" x14ac:dyDescent="0.25">
      <c r="A48">
        <v>44</v>
      </c>
      <c r="B48">
        <v>5</v>
      </c>
    </row>
    <row r="49" spans="1:2" x14ac:dyDescent="0.25">
      <c r="A49">
        <v>45</v>
      </c>
      <c r="B49">
        <v>5</v>
      </c>
    </row>
    <row r="50" spans="1:2" x14ac:dyDescent="0.25">
      <c r="A50">
        <v>46</v>
      </c>
      <c r="B50">
        <v>3</v>
      </c>
    </row>
    <row r="51" spans="1:2" x14ac:dyDescent="0.25">
      <c r="A51">
        <v>47</v>
      </c>
      <c r="B51">
        <v>2</v>
      </c>
    </row>
    <row r="52" spans="1:2" x14ac:dyDescent="0.25">
      <c r="A52">
        <v>48</v>
      </c>
      <c r="B52">
        <v>5</v>
      </c>
    </row>
    <row r="53" spans="1:2" x14ac:dyDescent="0.25">
      <c r="A53">
        <v>49</v>
      </c>
      <c r="B53">
        <v>4</v>
      </c>
    </row>
    <row r="54" spans="1:2" x14ac:dyDescent="0.25">
      <c r="A54">
        <v>50</v>
      </c>
      <c r="B5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2B54-486E-403C-85E2-96C1D26B97AF}">
  <dimension ref="B2:AC53"/>
  <sheetViews>
    <sheetView zoomScaleNormal="100" workbookViewId="0">
      <selection activeCell="M28" sqref="M28"/>
    </sheetView>
  </sheetViews>
  <sheetFormatPr defaultRowHeight="15" x14ac:dyDescent="0.25"/>
  <cols>
    <col min="4" max="6" width="16" customWidth="1"/>
    <col min="7" max="7" width="28.42578125" customWidth="1"/>
    <col min="17" max="17" width="9.28515625" customWidth="1"/>
    <col min="18" max="18" width="8.140625" customWidth="1"/>
    <col min="22" max="22" width="11.85546875" customWidth="1"/>
    <col min="23" max="23" width="14.42578125" customWidth="1"/>
    <col min="24" max="24" width="10.140625" customWidth="1"/>
    <col min="27" max="27" width="18.7109375" customWidth="1"/>
    <col min="28" max="28" width="19.140625" customWidth="1"/>
  </cols>
  <sheetData>
    <row r="2" spans="2:28" x14ac:dyDescent="0.25">
      <c r="V2" t="s">
        <v>151</v>
      </c>
    </row>
    <row r="3" spans="2:28" ht="19.5" customHeight="1" x14ac:dyDescent="0.25">
      <c r="B3" s="2" t="s">
        <v>70</v>
      </c>
      <c r="C3" s="2" t="s">
        <v>71</v>
      </c>
      <c r="D3" s="2" t="s">
        <v>77</v>
      </c>
      <c r="E3" s="2" t="s">
        <v>74</v>
      </c>
      <c r="F3" s="2" t="s">
        <v>75</v>
      </c>
      <c r="G3" s="2" t="s">
        <v>76</v>
      </c>
      <c r="U3" s="58" t="s">
        <v>118</v>
      </c>
      <c r="V3" s="58"/>
      <c r="W3" s="58"/>
      <c r="X3" s="4" t="s">
        <v>154</v>
      </c>
      <c r="Y3" s="4" t="s">
        <v>152</v>
      </c>
      <c r="Z3" s="4" t="s">
        <v>153</v>
      </c>
      <c r="AA3" s="4" t="s">
        <v>156</v>
      </c>
      <c r="AB3" s="4" t="s">
        <v>155</v>
      </c>
    </row>
    <row r="4" spans="2:28" x14ac:dyDescent="0.25">
      <c r="B4" cm="1">
        <f t="array" ref="B4:B53">_xlfn.SEQUENCE(50)</f>
        <v>1</v>
      </c>
      <c r="C4" t="s">
        <v>72</v>
      </c>
      <c r="D4" t="s">
        <v>78</v>
      </c>
      <c r="E4">
        <f>COUNTIF(C4:C53,"MALE")</f>
        <v>20</v>
      </c>
      <c r="F4">
        <f>COUNTIF(C4:C53,"FEMALE")</f>
        <v>30</v>
      </c>
      <c r="P4" t="e">
        <f>_xlfn.STDEV.S(O4:O13)</f>
        <v>#DIV/0!</v>
      </c>
      <c r="U4" s="58"/>
      <c r="V4" s="58"/>
      <c r="W4" s="58"/>
      <c r="X4" s="4" t="e">
        <f>COVAR(V4:V13,W4:W13)</f>
        <v>#DIV/0!</v>
      </c>
      <c r="Y4" s="4" t="e">
        <f>VAR(V4:V13)</f>
        <v>#DIV/0!</v>
      </c>
      <c r="Z4" s="4" t="e">
        <f>VAR(W4:W13)</f>
        <v>#DIV/0!</v>
      </c>
      <c r="AA4" s="4" t="e">
        <f>_xlfn.COVARIANCE.S(V4:V13,W4:W13)/(_xlfn.STDEV.S(V4:V13)*_xlfn.STDEV.S(W4:W13))</f>
        <v>#DIV/0!</v>
      </c>
      <c r="AB4" s="66" t="e">
        <f>CORREL(V4:V13,W4:W13)</f>
        <v>#DIV/0!</v>
      </c>
    </row>
    <row r="5" spans="2:28" x14ac:dyDescent="0.25">
      <c r="B5">
        <v>2</v>
      </c>
      <c r="C5" t="s">
        <v>72</v>
      </c>
      <c r="D5" t="s">
        <v>79</v>
      </c>
      <c r="G5">
        <f>COUNTIF(C4:C53,"MALE")/50+(COUNTIF(D4:D53,"YES")/50-(COUNTIFS(C4:C53,"MALE",D4:D53,"YES")/50))</f>
        <v>0.8</v>
      </c>
      <c r="U5" s="58"/>
      <c r="V5" s="58"/>
      <c r="W5" s="58"/>
      <c r="X5" s="4"/>
      <c r="Y5" s="4"/>
      <c r="Z5" s="4"/>
      <c r="AB5" s="4"/>
    </row>
    <row r="6" spans="2:28" x14ac:dyDescent="0.25">
      <c r="B6">
        <v>3</v>
      </c>
      <c r="C6" t="s">
        <v>73</v>
      </c>
      <c r="D6" t="s">
        <v>79</v>
      </c>
      <c r="E6">
        <f>20/50</f>
        <v>0.4</v>
      </c>
      <c r="F6">
        <f>30/50</f>
        <v>0.6</v>
      </c>
      <c r="U6" s="58"/>
      <c r="V6" s="58"/>
      <c r="W6" s="58"/>
      <c r="X6" s="4"/>
      <c r="Y6" s="4"/>
      <c r="Z6" s="4"/>
      <c r="AA6" s="4"/>
      <c r="AB6" s="4"/>
    </row>
    <row r="7" spans="2:28" x14ac:dyDescent="0.25">
      <c r="B7">
        <v>4</v>
      </c>
      <c r="C7" t="s">
        <v>72</v>
      </c>
      <c r="D7" t="s">
        <v>79</v>
      </c>
      <c r="U7" s="58"/>
      <c r="V7" s="58"/>
      <c r="W7" s="58"/>
      <c r="X7" s="4"/>
      <c r="Y7" s="4"/>
      <c r="Z7" s="4"/>
      <c r="AA7" s="4"/>
      <c r="AB7" s="4"/>
    </row>
    <row r="8" spans="2:28" x14ac:dyDescent="0.25">
      <c r="B8">
        <v>5</v>
      </c>
      <c r="C8" t="s">
        <v>72</v>
      </c>
      <c r="D8" t="s">
        <v>79</v>
      </c>
      <c r="E8" s="2" t="s">
        <v>80</v>
      </c>
      <c r="F8" s="2" t="s">
        <v>81</v>
      </c>
      <c r="U8" s="58"/>
      <c r="V8" s="58"/>
      <c r="W8" s="58"/>
      <c r="X8" s="4"/>
      <c r="Z8" s="4"/>
      <c r="AA8" s="4"/>
      <c r="AB8" s="4"/>
    </row>
    <row r="9" spans="2:28" x14ac:dyDescent="0.25">
      <c r="B9">
        <v>6</v>
      </c>
      <c r="C9" t="s">
        <v>72</v>
      </c>
      <c r="D9" t="s">
        <v>78</v>
      </c>
      <c r="E9">
        <f>COUNTIF(D4:D53,"YES")</f>
        <v>34</v>
      </c>
      <c r="F9">
        <f>COUNTIF(D4:D53,"NO")</f>
        <v>16</v>
      </c>
      <c r="U9" s="58"/>
      <c r="V9" s="58"/>
      <c r="W9" s="58"/>
      <c r="X9" s="4"/>
      <c r="Y9" s="4"/>
      <c r="Z9" s="4"/>
      <c r="AA9" s="4"/>
      <c r="AB9" s="4"/>
    </row>
    <row r="10" spans="2:28" x14ac:dyDescent="0.25">
      <c r="B10">
        <v>7</v>
      </c>
      <c r="C10" t="s">
        <v>73</v>
      </c>
      <c r="D10" t="s">
        <v>79</v>
      </c>
      <c r="U10" s="58"/>
      <c r="V10" s="58"/>
      <c r="W10" s="58"/>
      <c r="X10" s="4"/>
      <c r="Y10" s="4"/>
      <c r="Z10" s="4"/>
      <c r="AA10" s="4"/>
      <c r="AB10" s="4"/>
    </row>
    <row r="11" spans="2:28" x14ac:dyDescent="0.25">
      <c r="B11">
        <v>8</v>
      </c>
      <c r="C11" t="s">
        <v>72</v>
      </c>
      <c r="D11" t="s">
        <v>79</v>
      </c>
      <c r="U11" s="58"/>
      <c r="V11" s="58"/>
      <c r="W11" s="58"/>
      <c r="X11" s="4"/>
      <c r="Y11" s="4"/>
      <c r="Z11" s="4"/>
      <c r="AA11" s="4"/>
      <c r="AB11" s="4"/>
    </row>
    <row r="12" spans="2:28" x14ac:dyDescent="0.25">
      <c r="B12">
        <v>9</v>
      </c>
      <c r="C12" t="s">
        <v>72</v>
      </c>
      <c r="D12" t="s">
        <v>78</v>
      </c>
      <c r="U12" s="58"/>
      <c r="V12" s="58"/>
      <c r="W12" s="58"/>
      <c r="X12" s="4"/>
      <c r="Y12" s="4"/>
      <c r="Z12" s="4"/>
      <c r="AA12" s="4"/>
      <c r="AB12" s="4"/>
    </row>
    <row r="13" spans="2:28" x14ac:dyDescent="0.25">
      <c r="B13">
        <v>10</v>
      </c>
      <c r="C13" t="s">
        <v>73</v>
      </c>
      <c r="D13" t="s">
        <v>79</v>
      </c>
      <c r="U13" s="58"/>
      <c r="V13" s="58"/>
      <c r="W13" s="58"/>
      <c r="X13" s="4"/>
      <c r="Y13" s="4"/>
      <c r="Z13" s="4"/>
      <c r="AA13" s="4" t="e">
        <f>(SQRT(Y4)*SQRT(Z4))</f>
        <v>#DIV/0!</v>
      </c>
      <c r="AB13" s="4"/>
    </row>
    <row r="14" spans="2:28" x14ac:dyDescent="0.25">
      <c r="B14">
        <v>11</v>
      </c>
      <c r="C14" t="s">
        <v>73</v>
      </c>
      <c r="D14" t="s">
        <v>79</v>
      </c>
    </row>
    <row r="15" spans="2:28" x14ac:dyDescent="0.25">
      <c r="B15">
        <v>12</v>
      </c>
      <c r="C15" t="s">
        <v>73</v>
      </c>
      <c r="D15" t="s">
        <v>79</v>
      </c>
    </row>
    <row r="16" spans="2:28" x14ac:dyDescent="0.25">
      <c r="B16">
        <v>13</v>
      </c>
      <c r="C16" t="s">
        <v>72</v>
      </c>
      <c r="D16" t="s">
        <v>79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2:29" x14ac:dyDescent="0.25">
      <c r="B17">
        <v>14</v>
      </c>
      <c r="C17" t="s">
        <v>73</v>
      </c>
      <c r="D17" t="s">
        <v>78</v>
      </c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Z17" t="s">
        <v>158</v>
      </c>
    </row>
    <row r="18" spans="2:29" x14ac:dyDescent="0.25">
      <c r="B18">
        <v>15</v>
      </c>
      <c r="C18" t="s">
        <v>73</v>
      </c>
      <c r="D18" t="s">
        <v>79</v>
      </c>
      <c r="M18" s="58"/>
      <c r="N18" s="58" t="s">
        <v>118</v>
      </c>
      <c r="O18" s="58"/>
      <c r="P18" s="58"/>
      <c r="Q18" s="58"/>
      <c r="R18" s="58"/>
      <c r="S18" s="58"/>
      <c r="T18" s="58"/>
      <c r="U18" s="58"/>
      <c r="V18" s="58"/>
      <c r="W18" s="58"/>
      <c r="Y18" s="47"/>
      <c r="Z18" s="47" t="s">
        <v>118</v>
      </c>
      <c r="AA18" s="47" t="s">
        <v>159</v>
      </c>
      <c r="AB18" s="47"/>
      <c r="AC18" s="47"/>
    </row>
    <row r="19" spans="2:29" x14ac:dyDescent="0.25">
      <c r="B19">
        <v>16</v>
      </c>
      <c r="C19" t="s">
        <v>73</v>
      </c>
      <c r="D19" t="s">
        <v>79</v>
      </c>
      <c r="L19">
        <f>_xlfn.BINOM.DIST(K19,5,0.5,FALSE)</f>
        <v>3.125E-2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Y19" s="38"/>
      <c r="Z19" s="38">
        <v>1</v>
      </c>
      <c r="AA19" s="38">
        <v>78</v>
      </c>
      <c r="AB19" s="38"/>
      <c r="AC19" s="38"/>
    </row>
    <row r="20" spans="2:29" x14ac:dyDescent="0.25">
      <c r="B20">
        <v>17</v>
      </c>
      <c r="C20" t="s">
        <v>73</v>
      </c>
      <c r="D20" t="s">
        <v>79</v>
      </c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Y20" s="38"/>
      <c r="Z20" s="38">
        <v>2</v>
      </c>
      <c r="AA20" s="38">
        <v>82</v>
      </c>
      <c r="AB20" s="38"/>
      <c r="AC20" s="38"/>
    </row>
    <row r="21" spans="2:29" x14ac:dyDescent="0.25">
      <c r="B21">
        <v>18</v>
      </c>
      <c r="C21" t="s">
        <v>73</v>
      </c>
      <c r="D21" t="s">
        <v>79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Y21" s="38"/>
      <c r="Z21" s="38">
        <v>3</v>
      </c>
      <c r="AA21" s="38">
        <v>85</v>
      </c>
      <c r="AB21" s="38"/>
      <c r="AC21" s="38"/>
    </row>
    <row r="22" spans="2:29" x14ac:dyDescent="0.25">
      <c r="B22">
        <v>19</v>
      </c>
      <c r="C22" t="s">
        <v>72</v>
      </c>
      <c r="D22" t="s">
        <v>78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Y22" s="38"/>
      <c r="Z22" s="38">
        <v>4</v>
      </c>
      <c r="AA22" s="38">
        <v>79</v>
      </c>
      <c r="AB22" s="38"/>
      <c r="AC22" s="38"/>
    </row>
    <row r="23" spans="2:29" x14ac:dyDescent="0.25">
      <c r="B23">
        <v>20</v>
      </c>
      <c r="C23" t="s">
        <v>72</v>
      </c>
      <c r="D23" t="s">
        <v>79</v>
      </c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Y23" s="38"/>
      <c r="Z23" s="38">
        <v>5</v>
      </c>
      <c r="AA23" s="38">
        <v>81</v>
      </c>
      <c r="AB23" s="38"/>
      <c r="AC23" s="38"/>
    </row>
    <row r="24" spans="2:29" x14ac:dyDescent="0.25">
      <c r="B24">
        <v>21</v>
      </c>
      <c r="C24" t="s">
        <v>73</v>
      </c>
      <c r="D24" t="s">
        <v>79</v>
      </c>
      <c r="L24">
        <f>_xlfn.BINOM.DIST(K24,5,0.1,FALSE)</f>
        <v>0.59048999999999996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Y24" s="38"/>
      <c r="Z24" s="38">
        <v>6</v>
      </c>
      <c r="AA24" s="38">
        <v>76</v>
      </c>
      <c r="AB24" s="38"/>
      <c r="AC24" s="38"/>
    </row>
    <row r="25" spans="2:29" x14ac:dyDescent="0.25">
      <c r="B25">
        <v>22</v>
      </c>
      <c r="C25" t="s">
        <v>73</v>
      </c>
      <c r="D25" t="s">
        <v>79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Y25" s="38"/>
      <c r="Z25" s="38">
        <v>7</v>
      </c>
      <c r="AA25" s="38">
        <v>84</v>
      </c>
      <c r="AB25" s="38"/>
      <c r="AC25" s="38"/>
    </row>
    <row r="26" spans="2:29" x14ac:dyDescent="0.25">
      <c r="B26">
        <v>23</v>
      </c>
      <c r="C26" t="s">
        <v>72</v>
      </c>
      <c r="D26" t="s">
        <v>78</v>
      </c>
      <c r="H26" t="e">
        <f>(B9-AVERAGE(G26:G35))/_xlfn.STDEV.S(G26:G35)</f>
        <v>#DIV/0!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Y26" s="38"/>
      <c r="Z26" s="38">
        <v>8</v>
      </c>
      <c r="AA26" s="38">
        <v>80</v>
      </c>
      <c r="AB26" s="38"/>
      <c r="AC26" s="38"/>
    </row>
    <row r="27" spans="2:29" x14ac:dyDescent="0.25">
      <c r="B27">
        <v>24</v>
      </c>
      <c r="C27" t="s">
        <v>72</v>
      </c>
      <c r="D27" t="s">
        <v>79</v>
      </c>
      <c r="F27" s="4"/>
      <c r="G27" s="4"/>
      <c r="H27" s="4" t="e">
        <f>(B10-AVERAGE(G27:G36))/_xlfn.STDEV.S(G27:G36)</f>
        <v>#DIV/0!</v>
      </c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Y27" s="38"/>
      <c r="Z27" s="38">
        <v>9</v>
      </c>
      <c r="AA27" s="38">
        <v>77</v>
      </c>
      <c r="AB27" s="38"/>
      <c r="AC27" s="38"/>
    </row>
    <row r="28" spans="2:29" x14ac:dyDescent="0.25">
      <c r="B28">
        <v>25</v>
      </c>
      <c r="C28" t="s">
        <v>72</v>
      </c>
      <c r="D28" t="s">
        <v>79</v>
      </c>
      <c r="F28" s="50"/>
      <c r="G28" s="50"/>
      <c r="H28" s="50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Y28" s="38"/>
      <c r="Z28" s="38">
        <v>10</v>
      </c>
      <c r="AA28" s="38">
        <v>83</v>
      </c>
      <c r="AB28" s="38"/>
      <c r="AC28" s="38"/>
    </row>
    <row r="29" spans="2:29" x14ac:dyDescent="0.25">
      <c r="B29">
        <v>26</v>
      </c>
      <c r="C29" t="s">
        <v>73</v>
      </c>
      <c r="D29" t="s">
        <v>78</v>
      </c>
      <c r="M29" s="58"/>
      <c r="N29" s="58" t="s">
        <v>157</v>
      </c>
      <c r="O29" s="58"/>
      <c r="P29" s="58"/>
      <c r="Q29" s="58"/>
      <c r="R29" s="58"/>
      <c r="S29" s="58"/>
      <c r="T29" s="58"/>
      <c r="U29" s="58"/>
      <c r="V29" s="58"/>
      <c r="W29" s="58"/>
    </row>
    <row r="30" spans="2:29" x14ac:dyDescent="0.25">
      <c r="B30">
        <v>27</v>
      </c>
      <c r="C30" t="s">
        <v>73</v>
      </c>
      <c r="D30" t="s">
        <v>78</v>
      </c>
      <c r="M30" s="58"/>
      <c r="N30" s="60" t="s">
        <v>147</v>
      </c>
      <c r="O30" s="60" t="s">
        <v>148</v>
      </c>
      <c r="P30" s="60" t="s">
        <v>149</v>
      </c>
      <c r="Q30" s="60" t="s">
        <v>142</v>
      </c>
      <c r="R30" s="60" t="s">
        <v>141</v>
      </c>
      <c r="S30" s="58"/>
      <c r="T30" s="58"/>
      <c r="U30" s="58"/>
      <c r="V30" s="58"/>
      <c r="W30" s="58"/>
    </row>
    <row r="31" spans="2:29" x14ac:dyDescent="0.25">
      <c r="B31">
        <v>28</v>
      </c>
      <c r="C31" t="s">
        <v>73</v>
      </c>
      <c r="D31" t="s">
        <v>79</v>
      </c>
      <c r="M31" s="58"/>
      <c r="N31" s="60">
        <v>1</v>
      </c>
      <c r="O31" s="60">
        <v>3</v>
      </c>
      <c r="P31" s="60">
        <v>5</v>
      </c>
      <c r="Q31" s="60">
        <f>_xlfn.COVARIANCE.S(O31:O35,P31:P35)</f>
        <v>7.4499999999999993</v>
      </c>
      <c r="R31" s="60">
        <f>_xlfn.COVARIANCE.P(O31:O35,P31:P35)</f>
        <v>5.9599999999999991</v>
      </c>
      <c r="S31" s="58"/>
      <c r="T31" s="58"/>
      <c r="U31" s="58"/>
      <c r="V31" s="58"/>
      <c r="W31" s="58"/>
    </row>
    <row r="32" spans="2:29" x14ac:dyDescent="0.25">
      <c r="B32">
        <v>29</v>
      </c>
      <c r="C32" t="s">
        <v>73</v>
      </c>
      <c r="D32" t="s">
        <v>78</v>
      </c>
      <c r="M32" s="58"/>
      <c r="N32" s="60">
        <v>2</v>
      </c>
      <c r="O32" s="60">
        <v>2</v>
      </c>
      <c r="P32" s="60">
        <v>4.5</v>
      </c>
      <c r="Q32" s="60"/>
      <c r="R32" s="60"/>
      <c r="S32" s="58" t="s">
        <v>150</v>
      </c>
      <c r="T32" s="58"/>
      <c r="U32" s="58"/>
      <c r="V32" s="58"/>
      <c r="W32" s="58"/>
    </row>
    <row r="33" spans="2:26" x14ac:dyDescent="0.25">
      <c r="B33">
        <v>30</v>
      </c>
      <c r="C33" t="s">
        <v>73</v>
      </c>
      <c r="D33" t="s">
        <v>79</v>
      </c>
      <c r="M33" s="58"/>
      <c r="N33" s="60">
        <v>3</v>
      </c>
      <c r="O33" s="60">
        <v>6</v>
      </c>
      <c r="P33" s="60">
        <v>9</v>
      </c>
      <c r="Q33" s="60"/>
      <c r="R33" s="60"/>
      <c r="S33" s="58"/>
      <c r="T33" s="58"/>
      <c r="U33" s="58"/>
      <c r="V33" s="58"/>
      <c r="W33" s="58"/>
      <c r="Y33" s="47"/>
      <c r="Z33" s="47"/>
    </row>
    <row r="34" spans="2:26" x14ac:dyDescent="0.25">
      <c r="B34">
        <v>31</v>
      </c>
      <c r="C34" t="s">
        <v>72</v>
      </c>
      <c r="D34" t="s">
        <v>79</v>
      </c>
      <c r="M34" s="58"/>
      <c r="N34" s="60">
        <v>4</v>
      </c>
      <c r="O34" s="60">
        <v>1</v>
      </c>
      <c r="P34" s="60">
        <v>1</v>
      </c>
      <c r="Q34" s="60"/>
      <c r="R34" s="60"/>
      <c r="S34" s="58"/>
      <c r="T34" s="58"/>
      <c r="U34" s="58"/>
      <c r="V34" s="58"/>
      <c r="W34" s="58"/>
      <c r="Y34" s="38"/>
      <c r="Z34" s="38"/>
    </row>
    <row r="35" spans="2:26" x14ac:dyDescent="0.25">
      <c r="B35">
        <v>32</v>
      </c>
      <c r="C35" t="s">
        <v>73</v>
      </c>
      <c r="D35" t="s">
        <v>78</v>
      </c>
      <c r="M35" s="58"/>
      <c r="N35" s="60">
        <v>5</v>
      </c>
      <c r="O35" s="60">
        <v>0</v>
      </c>
      <c r="P35" s="60">
        <v>1</v>
      </c>
      <c r="Q35" s="60"/>
      <c r="R35" s="60"/>
      <c r="S35" s="58"/>
      <c r="T35" s="58"/>
      <c r="U35" s="58"/>
      <c r="V35" s="58"/>
      <c r="W35" s="58"/>
      <c r="Y35" s="38"/>
      <c r="Z35" s="38"/>
    </row>
    <row r="36" spans="2:26" x14ac:dyDescent="0.25">
      <c r="B36">
        <v>33</v>
      </c>
      <c r="C36" t="s">
        <v>72</v>
      </c>
      <c r="D36" t="s">
        <v>79</v>
      </c>
      <c r="Y36" s="38"/>
      <c r="Z36" s="38"/>
    </row>
    <row r="37" spans="2:26" x14ac:dyDescent="0.25">
      <c r="B37">
        <v>34</v>
      </c>
      <c r="C37" t="s">
        <v>73</v>
      </c>
      <c r="D37" t="s">
        <v>79</v>
      </c>
      <c r="Y37" s="38"/>
      <c r="Z37" s="38"/>
    </row>
    <row r="38" spans="2:26" x14ac:dyDescent="0.25">
      <c r="B38">
        <v>35</v>
      </c>
      <c r="C38" t="s">
        <v>73</v>
      </c>
      <c r="D38" t="s">
        <v>79</v>
      </c>
      <c r="Y38" s="38"/>
      <c r="Z38" s="38"/>
    </row>
    <row r="39" spans="2:26" x14ac:dyDescent="0.25">
      <c r="B39">
        <v>36</v>
      </c>
      <c r="C39" t="s">
        <v>73</v>
      </c>
      <c r="D39" t="s">
        <v>78</v>
      </c>
      <c r="Y39" s="38"/>
      <c r="Z39" s="38"/>
    </row>
    <row r="40" spans="2:26" x14ac:dyDescent="0.25">
      <c r="B40">
        <v>37</v>
      </c>
      <c r="C40" t="s">
        <v>72</v>
      </c>
      <c r="D40" t="s">
        <v>79</v>
      </c>
      <c r="Y40" s="38"/>
      <c r="Z40" s="38"/>
    </row>
    <row r="41" spans="2:26" x14ac:dyDescent="0.25">
      <c r="B41">
        <v>38</v>
      </c>
      <c r="C41" t="s">
        <v>73</v>
      </c>
      <c r="D41" t="s">
        <v>79</v>
      </c>
      <c r="Y41" s="38"/>
      <c r="Z41" s="38"/>
    </row>
    <row r="42" spans="2:26" x14ac:dyDescent="0.25">
      <c r="B42">
        <v>39</v>
      </c>
      <c r="C42" t="s">
        <v>72</v>
      </c>
      <c r="D42" t="s">
        <v>78</v>
      </c>
      <c r="Y42" s="38"/>
      <c r="Z42" s="38"/>
    </row>
    <row r="43" spans="2:26" x14ac:dyDescent="0.25">
      <c r="B43">
        <v>40</v>
      </c>
      <c r="C43" t="s">
        <v>73</v>
      </c>
      <c r="D43" t="s">
        <v>79</v>
      </c>
      <c r="Y43" s="38"/>
      <c r="Z43" s="38"/>
    </row>
    <row r="44" spans="2:26" x14ac:dyDescent="0.25">
      <c r="B44">
        <v>41</v>
      </c>
      <c r="C44" t="s">
        <v>73</v>
      </c>
      <c r="D44" t="s">
        <v>79</v>
      </c>
    </row>
    <row r="45" spans="2:26" x14ac:dyDescent="0.25">
      <c r="B45">
        <v>42</v>
      </c>
      <c r="C45" t="s">
        <v>73</v>
      </c>
      <c r="D45" t="s">
        <v>78</v>
      </c>
    </row>
    <row r="46" spans="2:26" x14ac:dyDescent="0.25">
      <c r="B46">
        <v>43</v>
      </c>
      <c r="C46" t="s">
        <v>73</v>
      </c>
      <c r="D46" t="s">
        <v>78</v>
      </c>
    </row>
    <row r="47" spans="2:26" x14ac:dyDescent="0.25">
      <c r="B47">
        <v>44</v>
      </c>
      <c r="C47" t="s">
        <v>72</v>
      </c>
      <c r="D47" t="s">
        <v>79</v>
      </c>
    </row>
    <row r="48" spans="2:26" x14ac:dyDescent="0.25">
      <c r="B48">
        <v>45</v>
      </c>
      <c r="C48" t="s">
        <v>73</v>
      </c>
      <c r="D48" t="s">
        <v>78</v>
      </c>
    </row>
    <row r="49" spans="2:4" x14ac:dyDescent="0.25">
      <c r="B49">
        <v>46</v>
      </c>
      <c r="C49" t="s">
        <v>73</v>
      </c>
      <c r="D49" t="s">
        <v>78</v>
      </c>
    </row>
    <row r="50" spans="2:4" x14ac:dyDescent="0.25">
      <c r="B50">
        <v>47</v>
      </c>
      <c r="C50" t="s">
        <v>73</v>
      </c>
      <c r="D50" t="s">
        <v>79</v>
      </c>
    </row>
    <row r="51" spans="2:4" x14ac:dyDescent="0.25">
      <c r="B51">
        <v>48</v>
      </c>
      <c r="C51" t="s">
        <v>72</v>
      </c>
      <c r="D51" t="s">
        <v>79</v>
      </c>
    </row>
    <row r="52" spans="2:4" x14ac:dyDescent="0.25">
      <c r="B52">
        <v>49</v>
      </c>
      <c r="C52" t="s">
        <v>72</v>
      </c>
      <c r="D52" t="s">
        <v>79</v>
      </c>
    </row>
    <row r="53" spans="2:4" x14ac:dyDescent="0.25">
      <c r="B53">
        <v>50</v>
      </c>
      <c r="C53" t="s">
        <v>73</v>
      </c>
      <c r="D53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CAA0-F01F-458F-8428-369A4264EE27}">
  <dimension ref="C2:AC53"/>
  <sheetViews>
    <sheetView topLeftCell="A4" zoomScaleNormal="100" workbookViewId="0">
      <selection activeCell="M28" sqref="M28"/>
    </sheetView>
  </sheetViews>
  <sheetFormatPr defaultRowHeight="15" x14ac:dyDescent="0.25"/>
  <cols>
    <col min="8" max="8" width="32" customWidth="1"/>
    <col min="17" max="17" width="9.28515625" customWidth="1"/>
    <col min="18" max="18" width="8.140625" customWidth="1"/>
    <col min="22" max="22" width="11.85546875" customWidth="1"/>
    <col min="23" max="23" width="14.42578125" customWidth="1"/>
    <col min="24" max="24" width="10.140625" customWidth="1"/>
    <col min="27" max="27" width="18.7109375" customWidth="1"/>
    <col min="28" max="28" width="19.140625" customWidth="1"/>
  </cols>
  <sheetData>
    <row r="2" spans="3:28" x14ac:dyDescent="0.25">
      <c r="V2" t="s">
        <v>151</v>
      </c>
    </row>
    <row r="3" spans="3:28" ht="19.5" customHeight="1" x14ac:dyDescent="0.25">
      <c r="C3" s="2" t="s">
        <v>70</v>
      </c>
      <c r="D3" s="2" t="s">
        <v>71</v>
      </c>
      <c r="E3" s="2" t="s">
        <v>77</v>
      </c>
      <c r="F3" s="2" t="s">
        <v>82</v>
      </c>
      <c r="G3" s="2" t="s">
        <v>83</v>
      </c>
      <c r="H3" s="2" t="s">
        <v>85</v>
      </c>
      <c r="U3" s="58" t="s">
        <v>118</v>
      </c>
      <c r="V3" s="58"/>
      <c r="W3" s="58"/>
      <c r="X3" s="4" t="s">
        <v>154</v>
      </c>
      <c r="Y3" s="4" t="s">
        <v>152</v>
      </c>
      <c r="Z3" s="4" t="s">
        <v>153</v>
      </c>
      <c r="AA3" s="4" t="s">
        <v>156</v>
      </c>
      <c r="AB3" s="4" t="s">
        <v>155</v>
      </c>
    </row>
    <row r="4" spans="3:28" x14ac:dyDescent="0.25">
      <c r="C4" cm="1">
        <f t="array" ref="C4:C53">_xlfn.SEQUENCE(50)</f>
        <v>1</v>
      </c>
      <c r="D4" t="s">
        <v>72</v>
      </c>
      <c r="E4" t="s">
        <v>78</v>
      </c>
      <c r="F4" t="s">
        <v>84</v>
      </c>
      <c r="G4">
        <v>2</v>
      </c>
      <c r="H4">
        <f>COUNTIFS(F4:F53,"HEADS",G4:G53,"5")</f>
        <v>3</v>
      </c>
      <c r="P4" t="e">
        <f>_xlfn.STDEV.S(O4:O13)</f>
        <v>#DIV/0!</v>
      </c>
      <c r="U4" s="58"/>
      <c r="V4" s="58"/>
      <c r="W4" s="58"/>
      <c r="X4" s="4" t="e">
        <f>COVAR(V4:V13,W4:W13)</f>
        <v>#DIV/0!</v>
      </c>
      <c r="Y4" s="4" t="e">
        <f>VAR(V4:V13)</f>
        <v>#DIV/0!</v>
      </c>
      <c r="Z4" s="4" t="e">
        <f>VAR(W4:W13)</f>
        <v>#DIV/0!</v>
      </c>
      <c r="AA4" s="4" t="e">
        <f>_xlfn.COVARIANCE.S(V4:V13,W4:W13)/(_xlfn.STDEV.S(V4:V13)*_xlfn.STDEV.S(W4:W13))</f>
        <v>#DIV/0!</v>
      </c>
      <c r="AB4" s="66" t="e">
        <f>CORREL(V4:V13,W4:W13)</f>
        <v>#DIV/0!</v>
      </c>
    </row>
    <row r="5" spans="3:28" x14ac:dyDescent="0.25">
      <c r="C5">
        <v>2</v>
      </c>
      <c r="D5" t="s">
        <v>72</v>
      </c>
      <c r="E5" t="s">
        <v>79</v>
      </c>
      <c r="F5" t="s">
        <v>54</v>
      </c>
      <c r="G5">
        <v>3</v>
      </c>
      <c r="U5" s="58"/>
      <c r="V5" s="58"/>
      <c r="W5" s="58"/>
      <c r="X5" s="4"/>
      <c r="Y5" s="4"/>
      <c r="Z5" s="4"/>
      <c r="AB5" s="4"/>
    </row>
    <row r="6" spans="3:28" x14ac:dyDescent="0.25">
      <c r="C6">
        <v>3</v>
      </c>
      <c r="D6" t="s">
        <v>73</v>
      </c>
      <c r="E6" t="s">
        <v>79</v>
      </c>
      <c r="F6" t="s">
        <v>54</v>
      </c>
      <c r="G6">
        <v>6</v>
      </c>
      <c r="U6" s="58"/>
      <c r="V6" s="58"/>
      <c r="W6" s="58"/>
      <c r="X6" s="4"/>
      <c r="Y6" s="4"/>
      <c r="Z6" s="4"/>
      <c r="AA6" s="4"/>
      <c r="AB6" s="4"/>
    </row>
    <row r="7" spans="3:28" x14ac:dyDescent="0.25">
      <c r="C7">
        <v>4</v>
      </c>
      <c r="D7" t="s">
        <v>72</v>
      </c>
      <c r="E7" t="s">
        <v>79</v>
      </c>
      <c r="F7" t="s">
        <v>54</v>
      </c>
      <c r="G7">
        <v>6</v>
      </c>
      <c r="U7" s="58"/>
      <c r="V7" s="58"/>
      <c r="W7" s="58"/>
      <c r="X7" s="4"/>
      <c r="Y7" s="4"/>
      <c r="Z7" s="4"/>
      <c r="AA7" s="4"/>
      <c r="AB7" s="4"/>
    </row>
    <row r="8" spans="3:28" x14ac:dyDescent="0.25">
      <c r="C8">
        <v>5</v>
      </c>
      <c r="D8" t="s">
        <v>72</v>
      </c>
      <c r="E8" t="s">
        <v>79</v>
      </c>
      <c r="F8" t="s">
        <v>54</v>
      </c>
      <c r="G8">
        <v>4</v>
      </c>
      <c r="U8" s="58"/>
      <c r="V8" s="58"/>
      <c r="W8" s="58"/>
      <c r="X8" s="4"/>
      <c r="Z8" s="4"/>
      <c r="AA8" s="4"/>
      <c r="AB8" s="4"/>
    </row>
    <row r="9" spans="3:28" x14ac:dyDescent="0.25">
      <c r="C9">
        <v>6</v>
      </c>
      <c r="D9" t="s">
        <v>72</v>
      </c>
      <c r="E9" t="s">
        <v>78</v>
      </c>
      <c r="F9" t="s">
        <v>54</v>
      </c>
      <c r="G9">
        <v>3</v>
      </c>
      <c r="U9" s="58"/>
      <c r="V9" s="58"/>
      <c r="W9" s="58"/>
      <c r="X9" s="4"/>
      <c r="Y9" s="4"/>
      <c r="Z9" s="4"/>
      <c r="AA9" s="4"/>
      <c r="AB9" s="4"/>
    </row>
    <row r="10" spans="3:28" x14ac:dyDescent="0.25">
      <c r="C10">
        <v>7</v>
      </c>
      <c r="D10" t="s">
        <v>73</v>
      </c>
      <c r="E10" t="s">
        <v>79</v>
      </c>
      <c r="F10" t="s">
        <v>54</v>
      </c>
      <c r="G10">
        <v>2</v>
      </c>
      <c r="U10" s="58"/>
      <c r="V10" s="58"/>
      <c r="W10" s="58"/>
      <c r="X10" s="4"/>
      <c r="Y10" s="4"/>
      <c r="Z10" s="4"/>
      <c r="AA10" s="4"/>
      <c r="AB10" s="4"/>
    </row>
    <row r="11" spans="3:28" x14ac:dyDescent="0.25">
      <c r="C11">
        <v>8</v>
      </c>
      <c r="D11" t="s">
        <v>72</v>
      </c>
      <c r="E11" t="s">
        <v>79</v>
      </c>
      <c r="F11" t="s">
        <v>54</v>
      </c>
      <c r="G11">
        <v>6</v>
      </c>
      <c r="U11" s="58"/>
      <c r="V11" s="58"/>
      <c r="W11" s="58"/>
      <c r="X11" s="4"/>
      <c r="Y11" s="4"/>
      <c r="Z11" s="4"/>
      <c r="AA11" s="4"/>
      <c r="AB11" s="4"/>
    </row>
    <row r="12" spans="3:28" x14ac:dyDescent="0.25">
      <c r="C12">
        <v>9</v>
      </c>
      <c r="D12" t="s">
        <v>72</v>
      </c>
      <c r="E12" t="s">
        <v>78</v>
      </c>
      <c r="F12" t="s">
        <v>84</v>
      </c>
      <c r="G12">
        <v>1</v>
      </c>
      <c r="U12" s="58"/>
      <c r="V12" s="58"/>
      <c r="W12" s="58"/>
      <c r="X12" s="4"/>
      <c r="Y12" s="4"/>
      <c r="Z12" s="4"/>
      <c r="AA12" s="4"/>
      <c r="AB12" s="4"/>
    </row>
    <row r="13" spans="3:28" x14ac:dyDescent="0.25">
      <c r="C13">
        <v>10</v>
      </c>
      <c r="D13" t="s">
        <v>73</v>
      </c>
      <c r="E13" t="s">
        <v>79</v>
      </c>
      <c r="F13" t="s">
        <v>54</v>
      </c>
      <c r="G13">
        <v>4</v>
      </c>
      <c r="U13" s="58"/>
      <c r="V13" s="58"/>
      <c r="W13" s="58"/>
      <c r="X13" s="4"/>
      <c r="Y13" s="4"/>
      <c r="Z13" s="4"/>
      <c r="AA13" s="4" t="e">
        <f>(SQRT(Y4)*SQRT(Z4))</f>
        <v>#DIV/0!</v>
      </c>
      <c r="AB13" s="4"/>
    </row>
    <row r="14" spans="3:28" x14ac:dyDescent="0.25">
      <c r="C14">
        <v>11</v>
      </c>
      <c r="D14" t="s">
        <v>73</v>
      </c>
      <c r="E14" t="s">
        <v>79</v>
      </c>
      <c r="F14" t="s">
        <v>84</v>
      </c>
      <c r="G14">
        <v>1</v>
      </c>
    </row>
    <row r="15" spans="3:28" x14ac:dyDescent="0.25">
      <c r="C15">
        <v>12</v>
      </c>
      <c r="D15" t="s">
        <v>73</v>
      </c>
      <c r="E15" t="s">
        <v>79</v>
      </c>
      <c r="F15" t="s">
        <v>84</v>
      </c>
      <c r="G15">
        <v>3</v>
      </c>
    </row>
    <row r="16" spans="3:28" x14ac:dyDescent="0.25">
      <c r="C16">
        <v>13</v>
      </c>
      <c r="D16" t="s">
        <v>72</v>
      </c>
      <c r="E16" t="s">
        <v>79</v>
      </c>
      <c r="F16" t="s">
        <v>54</v>
      </c>
      <c r="G16">
        <v>5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3:29" x14ac:dyDescent="0.25">
      <c r="C17">
        <v>14</v>
      </c>
      <c r="D17" t="s">
        <v>73</v>
      </c>
      <c r="E17" t="s">
        <v>78</v>
      </c>
      <c r="F17" t="s">
        <v>84</v>
      </c>
      <c r="G17">
        <v>6</v>
      </c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Z17" t="s">
        <v>158</v>
      </c>
    </row>
    <row r="18" spans="3:29" x14ac:dyDescent="0.25">
      <c r="C18">
        <v>15</v>
      </c>
      <c r="D18" t="s">
        <v>73</v>
      </c>
      <c r="E18" t="s">
        <v>79</v>
      </c>
      <c r="F18" t="s">
        <v>84</v>
      </c>
      <c r="G18">
        <v>4</v>
      </c>
      <c r="M18" s="58"/>
      <c r="N18" s="58" t="s">
        <v>118</v>
      </c>
      <c r="O18" s="58"/>
      <c r="P18" s="58"/>
      <c r="Q18" s="58"/>
      <c r="R18" s="58"/>
      <c r="S18" s="58"/>
      <c r="T18" s="58"/>
      <c r="U18" s="58"/>
      <c r="V18" s="58"/>
      <c r="W18" s="58"/>
      <c r="Y18" s="47"/>
      <c r="Z18" s="47" t="s">
        <v>118</v>
      </c>
      <c r="AA18" s="47" t="s">
        <v>159</v>
      </c>
      <c r="AB18" s="47"/>
      <c r="AC18" s="47"/>
    </row>
    <row r="19" spans="3:29" x14ac:dyDescent="0.25">
      <c r="C19">
        <v>16</v>
      </c>
      <c r="D19" t="s">
        <v>73</v>
      </c>
      <c r="E19" t="s">
        <v>79</v>
      </c>
      <c r="F19" t="s">
        <v>54</v>
      </c>
      <c r="G19">
        <v>3</v>
      </c>
      <c r="L19">
        <f>_xlfn.BINOM.DIST(K19,5,0.5,FALSE)</f>
        <v>3.125E-2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Y19" s="38"/>
      <c r="Z19" s="38">
        <v>1</v>
      </c>
      <c r="AA19" s="38">
        <v>78</v>
      </c>
      <c r="AB19" s="38"/>
      <c r="AC19" s="38"/>
    </row>
    <row r="20" spans="3:29" x14ac:dyDescent="0.25">
      <c r="C20">
        <v>17</v>
      </c>
      <c r="D20" t="s">
        <v>73</v>
      </c>
      <c r="E20" t="s">
        <v>79</v>
      </c>
      <c r="F20" t="s">
        <v>84</v>
      </c>
      <c r="G20">
        <v>5</v>
      </c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Y20" s="38"/>
      <c r="Z20" s="38">
        <v>2</v>
      </c>
      <c r="AA20" s="38">
        <v>82</v>
      </c>
      <c r="AB20" s="38"/>
      <c r="AC20" s="38"/>
    </row>
    <row r="21" spans="3:29" x14ac:dyDescent="0.25">
      <c r="C21">
        <v>18</v>
      </c>
      <c r="D21" t="s">
        <v>73</v>
      </c>
      <c r="E21" t="s">
        <v>79</v>
      </c>
      <c r="F21" t="s">
        <v>54</v>
      </c>
      <c r="G21">
        <v>2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Y21" s="38"/>
      <c r="Z21" s="38">
        <v>3</v>
      </c>
      <c r="AA21" s="38">
        <v>85</v>
      </c>
      <c r="AB21" s="38"/>
      <c r="AC21" s="38"/>
    </row>
    <row r="22" spans="3:29" x14ac:dyDescent="0.25">
      <c r="C22">
        <v>19</v>
      </c>
      <c r="D22" t="s">
        <v>72</v>
      </c>
      <c r="E22" t="s">
        <v>78</v>
      </c>
      <c r="F22" t="s">
        <v>84</v>
      </c>
      <c r="G22">
        <v>3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Y22" s="38"/>
      <c r="Z22" s="38">
        <v>4</v>
      </c>
      <c r="AA22" s="38">
        <v>79</v>
      </c>
      <c r="AB22" s="38"/>
      <c r="AC22" s="38"/>
    </row>
    <row r="23" spans="3:29" x14ac:dyDescent="0.25">
      <c r="C23">
        <v>20</v>
      </c>
      <c r="D23" t="s">
        <v>72</v>
      </c>
      <c r="E23" t="s">
        <v>79</v>
      </c>
      <c r="F23" t="s">
        <v>84</v>
      </c>
      <c r="G23">
        <v>5</v>
      </c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Y23" s="38"/>
      <c r="Z23" s="38">
        <v>5</v>
      </c>
      <c r="AA23" s="38">
        <v>81</v>
      </c>
      <c r="AB23" s="38"/>
      <c r="AC23" s="38"/>
    </row>
    <row r="24" spans="3:29" x14ac:dyDescent="0.25">
      <c r="C24">
        <v>21</v>
      </c>
      <c r="D24" t="s">
        <v>73</v>
      </c>
      <c r="E24" t="s">
        <v>79</v>
      </c>
      <c r="F24" t="s">
        <v>54</v>
      </c>
      <c r="G24">
        <v>1</v>
      </c>
      <c r="L24">
        <f>_xlfn.BINOM.DIST(K24,5,0.1,FALSE)</f>
        <v>0.59048999999999996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Y24" s="38"/>
      <c r="Z24" s="38">
        <v>6</v>
      </c>
      <c r="AA24" s="38">
        <v>76</v>
      </c>
      <c r="AB24" s="38"/>
      <c r="AC24" s="38"/>
    </row>
    <row r="25" spans="3:29" x14ac:dyDescent="0.25">
      <c r="C25">
        <v>22</v>
      </c>
      <c r="D25" t="s">
        <v>73</v>
      </c>
      <c r="E25" t="s">
        <v>79</v>
      </c>
      <c r="F25" t="s">
        <v>54</v>
      </c>
      <c r="G25">
        <v>3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Y25" s="38"/>
      <c r="Z25" s="38">
        <v>7</v>
      </c>
      <c r="AA25" s="38">
        <v>84</v>
      </c>
      <c r="AB25" s="38"/>
      <c r="AC25" s="38"/>
    </row>
    <row r="26" spans="3:29" x14ac:dyDescent="0.25">
      <c r="C26">
        <v>23</v>
      </c>
      <c r="D26" t="s">
        <v>72</v>
      </c>
      <c r="E26" t="s">
        <v>78</v>
      </c>
      <c r="F26" t="s">
        <v>54</v>
      </c>
      <c r="G26">
        <v>2</v>
      </c>
      <c r="H26">
        <f>(B9-AVERAGE(G26:G35))/_xlfn.STDEV.S(G26:G35)</f>
        <v>-2.4761904761904763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Y26" s="38"/>
      <c r="Z26" s="38">
        <v>8</v>
      </c>
      <c r="AA26" s="38">
        <v>80</v>
      </c>
      <c r="AB26" s="38"/>
      <c r="AC26" s="38"/>
    </row>
    <row r="27" spans="3:29" x14ac:dyDescent="0.25">
      <c r="C27">
        <v>24</v>
      </c>
      <c r="D27" t="s">
        <v>72</v>
      </c>
      <c r="E27" t="s">
        <v>79</v>
      </c>
      <c r="F27" s="4" t="s">
        <v>54</v>
      </c>
      <c r="G27" s="4">
        <v>5</v>
      </c>
      <c r="H27" s="4">
        <f>(B10-AVERAGE(G27:G36))/_xlfn.STDEV.S(G27:G36)</f>
        <v>-2.2222222222222223</v>
      </c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Y27" s="38"/>
      <c r="Z27" s="38">
        <v>9</v>
      </c>
      <c r="AA27" s="38">
        <v>77</v>
      </c>
      <c r="AB27" s="38"/>
      <c r="AC27" s="38"/>
    </row>
    <row r="28" spans="3:29" x14ac:dyDescent="0.25">
      <c r="C28">
        <v>25</v>
      </c>
      <c r="D28" t="s">
        <v>72</v>
      </c>
      <c r="F28" s="50"/>
      <c r="G28" s="50"/>
      <c r="H28" s="50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Y28" s="38"/>
      <c r="Z28" s="38">
        <v>10</v>
      </c>
      <c r="AA28" s="38">
        <v>83</v>
      </c>
      <c r="AB28" s="38"/>
      <c r="AC28" s="38"/>
    </row>
    <row r="29" spans="3:29" x14ac:dyDescent="0.25">
      <c r="C29">
        <v>26</v>
      </c>
      <c r="D29" t="s">
        <v>73</v>
      </c>
      <c r="E29" t="s">
        <v>78</v>
      </c>
      <c r="F29" t="s">
        <v>54</v>
      </c>
      <c r="G29">
        <v>3</v>
      </c>
      <c r="M29" s="58"/>
      <c r="N29" s="58" t="s">
        <v>157</v>
      </c>
      <c r="O29" s="58"/>
      <c r="P29" s="58"/>
      <c r="Q29" s="58"/>
      <c r="R29" s="58"/>
      <c r="S29" s="58"/>
      <c r="T29" s="58"/>
      <c r="U29" s="58"/>
      <c r="V29" s="58"/>
      <c r="W29" s="58"/>
    </row>
    <row r="30" spans="3:29" x14ac:dyDescent="0.25">
      <c r="C30">
        <v>27</v>
      </c>
      <c r="D30" t="s">
        <v>73</v>
      </c>
      <c r="E30" t="s">
        <v>78</v>
      </c>
      <c r="F30" t="s">
        <v>84</v>
      </c>
      <c r="G30">
        <v>2</v>
      </c>
      <c r="M30" s="58"/>
      <c r="N30" s="60" t="s">
        <v>147</v>
      </c>
      <c r="O30" s="60" t="s">
        <v>148</v>
      </c>
      <c r="P30" s="60" t="s">
        <v>149</v>
      </c>
      <c r="Q30" s="60" t="s">
        <v>142</v>
      </c>
      <c r="R30" s="60" t="s">
        <v>141</v>
      </c>
      <c r="S30" s="58"/>
      <c r="T30" s="58"/>
      <c r="U30" s="58"/>
      <c r="V30" s="58"/>
      <c r="W30" s="58"/>
    </row>
    <row r="31" spans="3:29" x14ac:dyDescent="0.25">
      <c r="C31">
        <v>28</v>
      </c>
      <c r="D31" t="s">
        <v>73</v>
      </c>
      <c r="E31" t="s">
        <v>79</v>
      </c>
      <c r="F31" t="s">
        <v>84</v>
      </c>
      <c r="G31">
        <v>3</v>
      </c>
      <c r="M31" s="58"/>
      <c r="N31" s="60">
        <v>1</v>
      </c>
      <c r="O31" s="60">
        <v>3</v>
      </c>
      <c r="P31" s="60">
        <v>5</v>
      </c>
      <c r="Q31" s="60">
        <f>_xlfn.COVARIANCE.S(O31:O35,P31:P35)</f>
        <v>7.4499999999999993</v>
      </c>
      <c r="R31" s="60">
        <f>_xlfn.COVARIANCE.P(O31:O35,P31:P35)</f>
        <v>5.9599999999999991</v>
      </c>
      <c r="S31" s="58"/>
      <c r="T31" s="58"/>
      <c r="U31" s="58"/>
      <c r="V31" s="58"/>
      <c r="W31" s="58"/>
    </row>
    <row r="32" spans="3:29" x14ac:dyDescent="0.25">
      <c r="C32">
        <v>29</v>
      </c>
      <c r="D32" t="s">
        <v>73</v>
      </c>
      <c r="E32" t="s">
        <v>78</v>
      </c>
      <c r="F32" t="s">
        <v>84</v>
      </c>
      <c r="G32">
        <v>1</v>
      </c>
      <c r="M32" s="58"/>
      <c r="N32" s="60">
        <v>2</v>
      </c>
      <c r="O32" s="60">
        <v>2</v>
      </c>
      <c r="P32" s="60">
        <v>4.5</v>
      </c>
      <c r="Q32" s="60"/>
      <c r="R32" s="60"/>
      <c r="S32" s="58" t="s">
        <v>150</v>
      </c>
      <c r="T32" s="58"/>
      <c r="U32" s="58"/>
      <c r="V32" s="58"/>
      <c r="W32" s="58"/>
    </row>
    <row r="33" spans="3:26" x14ac:dyDescent="0.25">
      <c r="C33">
        <v>30</v>
      </c>
      <c r="D33" t="s">
        <v>73</v>
      </c>
      <c r="E33" t="s">
        <v>79</v>
      </c>
      <c r="F33" t="s">
        <v>54</v>
      </c>
      <c r="G33">
        <v>3</v>
      </c>
      <c r="M33" s="58"/>
      <c r="N33" s="60">
        <v>3</v>
      </c>
      <c r="O33" s="60">
        <v>6</v>
      </c>
      <c r="P33" s="60">
        <v>9</v>
      </c>
      <c r="Q33" s="60"/>
      <c r="R33" s="60"/>
      <c r="S33" s="58"/>
      <c r="T33" s="58"/>
      <c r="U33" s="58"/>
      <c r="V33" s="58"/>
      <c r="W33" s="58"/>
      <c r="Y33" s="47"/>
      <c r="Z33" s="47"/>
    </row>
    <row r="34" spans="3:26" x14ac:dyDescent="0.25">
      <c r="C34">
        <v>31</v>
      </c>
      <c r="D34" t="s">
        <v>72</v>
      </c>
      <c r="E34" t="s">
        <v>79</v>
      </c>
      <c r="F34" t="s">
        <v>54</v>
      </c>
      <c r="G34">
        <v>3</v>
      </c>
      <c r="M34" s="58"/>
      <c r="N34" s="60">
        <v>4</v>
      </c>
      <c r="O34" s="60">
        <v>1</v>
      </c>
      <c r="P34" s="60">
        <v>1</v>
      </c>
      <c r="Q34" s="60"/>
      <c r="R34" s="60"/>
      <c r="S34" s="58"/>
      <c r="T34" s="58"/>
      <c r="U34" s="58"/>
      <c r="V34" s="58"/>
      <c r="W34" s="58"/>
      <c r="Y34" s="38"/>
      <c r="Z34" s="38"/>
    </row>
    <row r="35" spans="3:26" x14ac:dyDescent="0.25">
      <c r="C35">
        <v>32</v>
      </c>
      <c r="D35" t="s">
        <v>73</v>
      </c>
      <c r="E35" t="s">
        <v>78</v>
      </c>
      <c r="F35" t="s">
        <v>84</v>
      </c>
      <c r="G35">
        <v>4</v>
      </c>
      <c r="M35" s="58"/>
      <c r="N35" s="60">
        <v>5</v>
      </c>
      <c r="O35" s="60">
        <v>0</v>
      </c>
      <c r="P35" s="60">
        <v>1</v>
      </c>
      <c r="Q35" s="60"/>
      <c r="R35" s="60"/>
      <c r="S35" s="58"/>
      <c r="T35" s="58"/>
      <c r="U35" s="58"/>
      <c r="V35" s="58"/>
      <c r="W35" s="58"/>
      <c r="Y35" s="38"/>
      <c r="Z35" s="38"/>
    </row>
    <row r="36" spans="3:26" x14ac:dyDescent="0.25">
      <c r="C36">
        <v>33</v>
      </c>
      <c r="D36" t="s">
        <v>72</v>
      </c>
      <c r="E36" t="s">
        <v>79</v>
      </c>
      <c r="F36" t="s">
        <v>54</v>
      </c>
      <c r="G36">
        <v>6</v>
      </c>
      <c r="Y36" s="38"/>
      <c r="Z36" s="38"/>
    </row>
    <row r="37" spans="3:26" x14ac:dyDescent="0.25">
      <c r="C37">
        <v>34</v>
      </c>
      <c r="D37" t="s">
        <v>73</v>
      </c>
      <c r="E37" t="s">
        <v>79</v>
      </c>
      <c r="F37" t="s">
        <v>84</v>
      </c>
      <c r="G37">
        <v>3</v>
      </c>
      <c r="Y37" s="38"/>
      <c r="Z37" s="38"/>
    </row>
    <row r="38" spans="3:26" x14ac:dyDescent="0.25">
      <c r="C38">
        <v>35</v>
      </c>
      <c r="D38" t="s">
        <v>73</v>
      </c>
      <c r="E38" t="s">
        <v>79</v>
      </c>
      <c r="F38" t="s">
        <v>54</v>
      </c>
      <c r="G38">
        <v>5</v>
      </c>
      <c r="Y38" s="38"/>
      <c r="Z38" s="38"/>
    </row>
    <row r="39" spans="3:26" x14ac:dyDescent="0.25">
      <c r="C39">
        <v>36</v>
      </c>
      <c r="D39" t="s">
        <v>73</v>
      </c>
      <c r="E39" t="s">
        <v>78</v>
      </c>
      <c r="F39" t="s">
        <v>84</v>
      </c>
      <c r="G39">
        <v>2</v>
      </c>
      <c r="Y39" s="38"/>
      <c r="Z39" s="38"/>
    </row>
    <row r="40" spans="3:26" x14ac:dyDescent="0.25">
      <c r="C40">
        <v>37</v>
      </c>
      <c r="D40" t="s">
        <v>72</v>
      </c>
      <c r="E40" t="s">
        <v>79</v>
      </c>
      <c r="F40" t="s">
        <v>54</v>
      </c>
      <c r="G40">
        <v>4</v>
      </c>
      <c r="Y40" s="38"/>
      <c r="Z40" s="38"/>
    </row>
    <row r="41" spans="3:26" x14ac:dyDescent="0.25">
      <c r="C41">
        <v>38</v>
      </c>
      <c r="D41" t="s">
        <v>73</v>
      </c>
      <c r="E41" t="s">
        <v>79</v>
      </c>
      <c r="F41" t="s">
        <v>84</v>
      </c>
      <c r="G41">
        <v>2</v>
      </c>
      <c r="Y41" s="38"/>
      <c r="Z41" s="38"/>
    </row>
    <row r="42" spans="3:26" x14ac:dyDescent="0.25">
      <c r="C42">
        <v>39</v>
      </c>
      <c r="D42" t="s">
        <v>72</v>
      </c>
      <c r="E42" t="s">
        <v>78</v>
      </c>
      <c r="F42" t="s">
        <v>84</v>
      </c>
      <c r="G42">
        <v>6</v>
      </c>
      <c r="Y42" s="38"/>
      <c r="Z42" s="38"/>
    </row>
    <row r="43" spans="3:26" x14ac:dyDescent="0.25">
      <c r="C43">
        <v>40</v>
      </c>
      <c r="D43" t="s">
        <v>73</v>
      </c>
      <c r="E43" t="s">
        <v>79</v>
      </c>
      <c r="F43" t="s">
        <v>54</v>
      </c>
      <c r="G43">
        <v>2</v>
      </c>
      <c r="Y43" s="38"/>
      <c r="Z43" s="38"/>
    </row>
    <row r="44" spans="3:26" x14ac:dyDescent="0.25">
      <c r="C44">
        <v>41</v>
      </c>
      <c r="D44" t="s">
        <v>73</v>
      </c>
      <c r="E44" t="s">
        <v>79</v>
      </c>
      <c r="F44" t="s">
        <v>54</v>
      </c>
      <c r="G44">
        <v>4</v>
      </c>
    </row>
    <row r="45" spans="3:26" x14ac:dyDescent="0.25">
      <c r="C45">
        <v>42</v>
      </c>
      <c r="D45" t="s">
        <v>73</v>
      </c>
      <c r="E45" t="s">
        <v>78</v>
      </c>
      <c r="F45" t="s">
        <v>84</v>
      </c>
      <c r="G45">
        <v>6</v>
      </c>
    </row>
    <row r="46" spans="3:26" x14ac:dyDescent="0.25">
      <c r="C46">
        <v>43</v>
      </c>
      <c r="D46" t="s">
        <v>73</v>
      </c>
      <c r="E46" t="s">
        <v>78</v>
      </c>
      <c r="F46" t="s">
        <v>84</v>
      </c>
      <c r="G46">
        <v>1</v>
      </c>
    </row>
    <row r="47" spans="3:26" x14ac:dyDescent="0.25">
      <c r="C47">
        <v>44</v>
      </c>
      <c r="D47" t="s">
        <v>72</v>
      </c>
      <c r="E47" t="s">
        <v>79</v>
      </c>
      <c r="F47" t="s">
        <v>84</v>
      </c>
      <c r="G47">
        <v>3</v>
      </c>
    </row>
    <row r="48" spans="3:26" x14ac:dyDescent="0.25">
      <c r="C48">
        <v>45</v>
      </c>
      <c r="D48" t="s">
        <v>73</v>
      </c>
      <c r="E48" t="s">
        <v>78</v>
      </c>
      <c r="F48" t="s">
        <v>54</v>
      </c>
      <c r="G48">
        <v>3</v>
      </c>
    </row>
    <row r="49" spans="3:7" x14ac:dyDescent="0.25">
      <c r="C49">
        <v>46</v>
      </c>
      <c r="D49" t="s">
        <v>73</v>
      </c>
      <c r="E49" t="s">
        <v>78</v>
      </c>
      <c r="F49" t="s">
        <v>54</v>
      </c>
      <c r="G49">
        <v>6</v>
      </c>
    </row>
    <row r="50" spans="3:7" x14ac:dyDescent="0.25">
      <c r="C50">
        <v>47</v>
      </c>
      <c r="D50" t="s">
        <v>73</v>
      </c>
      <c r="E50" t="s">
        <v>79</v>
      </c>
      <c r="F50" t="s">
        <v>54</v>
      </c>
      <c r="G50">
        <v>1</v>
      </c>
    </row>
    <row r="51" spans="3:7" x14ac:dyDescent="0.25">
      <c r="C51">
        <v>48</v>
      </c>
      <c r="D51" t="s">
        <v>72</v>
      </c>
      <c r="E51" t="s">
        <v>79</v>
      </c>
      <c r="F51" t="s">
        <v>84</v>
      </c>
      <c r="G51">
        <v>1</v>
      </c>
    </row>
    <row r="52" spans="3:7" x14ac:dyDescent="0.25">
      <c r="C52">
        <v>49</v>
      </c>
      <c r="D52" t="s">
        <v>72</v>
      </c>
      <c r="E52" t="s">
        <v>79</v>
      </c>
      <c r="F52" t="s">
        <v>84</v>
      </c>
      <c r="G52">
        <v>6</v>
      </c>
    </row>
    <row r="53" spans="3:7" x14ac:dyDescent="0.25">
      <c r="C53">
        <v>50</v>
      </c>
      <c r="D53" t="s">
        <v>73</v>
      </c>
      <c r="E53" t="s">
        <v>79</v>
      </c>
      <c r="F53" t="s">
        <v>54</v>
      </c>
      <c r="G5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26AB-7DF0-40E4-A2E9-D43BB850F207}">
  <dimension ref="B2:AC56"/>
  <sheetViews>
    <sheetView topLeftCell="A4" zoomScaleNormal="100" workbookViewId="0">
      <selection activeCell="M28" sqref="M28"/>
    </sheetView>
  </sheetViews>
  <sheetFormatPr defaultRowHeight="15" x14ac:dyDescent="0.25"/>
  <cols>
    <col min="9" max="9" width="12.5703125" customWidth="1"/>
    <col min="11" max="11" width="33.7109375" customWidth="1"/>
    <col min="17" max="17" width="9.28515625" customWidth="1"/>
    <col min="18" max="18" width="8.140625" customWidth="1"/>
    <col min="22" max="22" width="11.85546875" customWidth="1"/>
    <col min="23" max="23" width="14.42578125" customWidth="1"/>
    <col min="24" max="24" width="10.140625" customWidth="1"/>
    <col min="27" max="27" width="18.7109375" customWidth="1"/>
    <col min="28" max="28" width="19.140625" customWidth="1"/>
  </cols>
  <sheetData>
    <row r="2" spans="2:28" x14ac:dyDescent="0.25">
      <c r="V2" t="s">
        <v>151</v>
      </c>
    </row>
    <row r="3" spans="2:28" ht="19.5" customHeight="1" x14ac:dyDescent="0.25">
      <c r="U3" s="58" t="s">
        <v>118</v>
      </c>
      <c r="V3" s="58"/>
      <c r="W3" s="58"/>
      <c r="X3" s="4" t="s">
        <v>154</v>
      </c>
      <c r="Y3" s="4" t="s">
        <v>152</v>
      </c>
      <c r="Z3" s="4" t="s">
        <v>153</v>
      </c>
      <c r="AA3" s="4" t="s">
        <v>156</v>
      </c>
      <c r="AB3" s="4" t="s">
        <v>155</v>
      </c>
    </row>
    <row r="4" spans="2:28" ht="15.75" thickBot="1" x14ac:dyDescent="0.3">
      <c r="P4" t="e">
        <f>_xlfn.STDEV.S(O4:O13)</f>
        <v>#DIV/0!</v>
      </c>
      <c r="U4" s="58"/>
      <c r="V4" s="58"/>
      <c r="W4" s="58"/>
      <c r="X4" s="4" t="e">
        <f>COVAR(V4:V13,W4:W13)</f>
        <v>#DIV/0!</v>
      </c>
      <c r="Y4" s="4" t="e">
        <f>VAR(V4:V13)</f>
        <v>#DIV/0!</v>
      </c>
      <c r="Z4" s="4" t="e">
        <f>VAR(W4:W13)</f>
        <v>#DIV/0!</v>
      </c>
      <c r="AA4" s="4" t="e">
        <f>_xlfn.COVARIANCE.S(V4:V13,W4:W13)/(_xlfn.STDEV.S(V4:V13)*_xlfn.STDEV.S(W4:W13))</f>
        <v>#DIV/0!</v>
      </c>
      <c r="AB4" s="66" t="e">
        <f>CORREL(V4:V13,W4:W13)</f>
        <v>#DIV/0!</v>
      </c>
    </row>
    <row r="5" spans="2:28" ht="15.75" thickBot="1" x14ac:dyDescent="0.3">
      <c r="K5" s="43" t="s">
        <v>96</v>
      </c>
      <c r="U5" s="58"/>
      <c r="V5" s="58"/>
      <c r="W5" s="58"/>
      <c r="X5" s="4"/>
      <c r="Y5" s="4"/>
      <c r="Z5" s="4"/>
      <c r="AB5" s="4"/>
    </row>
    <row r="6" spans="2:28" ht="15.75" thickBot="1" x14ac:dyDescent="0.3">
      <c r="B6" s="40" t="s">
        <v>70</v>
      </c>
      <c r="C6" s="41" t="s">
        <v>83</v>
      </c>
      <c r="I6" s="44" t="s">
        <v>88</v>
      </c>
      <c r="J6" s="45" t="s">
        <v>89</v>
      </c>
      <c r="K6" s="2" t="s">
        <v>90</v>
      </c>
      <c r="U6" s="58"/>
      <c r="V6" s="58"/>
      <c r="W6" s="58"/>
      <c r="X6" s="4"/>
      <c r="Y6" s="4"/>
      <c r="Z6" s="4"/>
      <c r="AA6" s="4"/>
      <c r="AB6" s="4"/>
    </row>
    <row r="7" spans="2:28" ht="15.75" thickBot="1" x14ac:dyDescent="0.3">
      <c r="B7" cm="1">
        <f t="array" ref="B7:B56">_xlfn.SEQUENCE(50)</f>
        <v>1</v>
      </c>
      <c r="C7">
        <v>2</v>
      </c>
      <c r="E7" s="40" t="s">
        <v>86</v>
      </c>
      <c r="F7" s="41"/>
      <c r="I7" s="38">
        <v>1</v>
      </c>
      <c r="J7" s="38">
        <v>45</v>
      </c>
      <c r="K7">
        <f>25/50</f>
        <v>0.5</v>
      </c>
      <c r="U7" s="58"/>
      <c r="V7" s="58"/>
      <c r="W7" s="58"/>
      <c r="X7" s="4"/>
      <c r="Y7" s="4"/>
      <c r="Z7" s="4"/>
      <c r="AA7" s="4"/>
      <c r="AB7" s="4"/>
    </row>
    <row r="8" spans="2:28" ht="15.75" thickBot="1" x14ac:dyDescent="0.3">
      <c r="B8">
        <v>2</v>
      </c>
      <c r="C8">
        <v>3</v>
      </c>
      <c r="E8">
        <f>COUNT(C7:C56,"&lt;=3")</f>
        <v>50</v>
      </c>
      <c r="I8" s="38">
        <v>2</v>
      </c>
      <c r="J8" s="38">
        <v>52</v>
      </c>
      <c r="U8" s="58"/>
      <c r="V8" s="58"/>
      <c r="W8" s="58"/>
      <c r="X8" s="4"/>
      <c r="Z8" s="4"/>
      <c r="AA8" s="4"/>
      <c r="AB8" s="4"/>
    </row>
    <row r="9" spans="2:28" ht="15.75" thickBot="1" x14ac:dyDescent="0.3">
      <c r="B9">
        <v>3</v>
      </c>
      <c r="C9">
        <v>6</v>
      </c>
      <c r="E9" s="40" t="s">
        <v>87</v>
      </c>
      <c r="F9" s="42"/>
      <c r="G9" s="42"/>
      <c r="H9" s="41"/>
      <c r="I9" s="38">
        <v>3</v>
      </c>
      <c r="J9" s="38">
        <v>67</v>
      </c>
      <c r="K9" s="2" t="s">
        <v>91</v>
      </c>
      <c r="U9" s="58"/>
      <c r="V9" s="58"/>
      <c r="W9" s="58"/>
      <c r="X9" s="4"/>
      <c r="Y9" s="4"/>
      <c r="Z9" s="4"/>
      <c r="AA9" s="4"/>
      <c r="AB9" s="4"/>
    </row>
    <row r="10" spans="2:28" x14ac:dyDescent="0.25">
      <c r="B10">
        <v>4</v>
      </c>
      <c r="C10">
        <v>6</v>
      </c>
      <c r="E10">
        <f>COUNTIF(C7:C56,"&gt;=4")/COUNT(C7:C56)</f>
        <v>0.42</v>
      </c>
      <c r="I10" s="38">
        <v>4</v>
      </c>
      <c r="J10" s="38">
        <v>78</v>
      </c>
      <c r="K10">
        <f>11/50</f>
        <v>0.22</v>
      </c>
      <c r="U10" s="58"/>
      <c r="V10" s="58"/>
      <c r="W10" s="58"/>
      <c r="X10" s="4"/>
      <c r="Y10" s="4"/>
      <c r="Z10" s="4"/>
      <c r="AA10" s="4"/>
      <c r="AB10" s="4"/>
    </row>
    <row r="11" spans="2:28" x14ac:dyDescent="0.25">
      <c r="B11">
        <v>5</v>
      </c>
      <c r="C11">
        <v>4</v>
      </c>
      <c r="I11" s="38">
        <v>5</v>
      </c>
      <c r="J11" s="38">
        <v>81</v>
      </c>
      <c r="U11" s="58"/>
      <c r="V11" s="58"/>
      <c r="W11" s="58"/>
      <c r="X11" s="4"/>
      <c r="Y11" s="4"/>
      <c r="Z11" s="4"/>
      <c r="AA11" s="4"/>
      <c r="AB11" s="4"/>
    </row>
    <row r="12" spans="2:28" x14ac:dyDescent="0.25">
      <c r="B12">
        <v>6</v>
      </c>
      <c r="C12">
        <v>3</v>
      </c>
      <c r="I12" s="38">
        <v>6</v>
      </c>
      <c r="J12" s="38">
        <v>69</v>
      </c>
      <c r="K12" s="2" t="s">
        <v>95</v>
      </c>
      <c r="U12" s="58"/>
      <c r="V12" s="58"/>
      <c r="W12" s="58"/>
      <c r="X12" s="4"/>
      <c r="Y12" s="4"/>
      <c r="Z12" s="4"/>
      <c r="AA12" s="4"/>
      <c r="AB12" s="4"/>
    </row>
    <row r="13" spans="2:28" x14ac:dyDescent="0.25">
      <c r="B13">
        <v>7</v>
      </c>
      <c r="C13">
        <v>2</v>
      </c>
      <c r="I13" s="38">
        <v>7</v>
      </c>
      <c r="J13" s="38">
        <v>73</v>
      </c>
      <c r="K13" s="39">
        <f>5/50</f>
        <v>0.1</v>
      </c>
      <c r="U13" s="58"/>
      <c r="V13" s="58"/>
      <c r="W13" s="58"/>
      <c r="X13" s="4"/>
      <c r="Y13" s="4"/>
      <c r="Z13" s="4"/>
      <c r="AA13" s="4" t="e">
        <f>(SQRT(Y4)*SQRT(Z4))</f>
        <v>#DIV/0!</v>
      </c>
      <c r="AB13" s="4"/>
    </row>
    <row r="14" spans="2:28" x14ac:dyDescent="0.25">
      <c r="B14">
        <v>8</v>
      </c>
      <c r="C14">
        <v>6</v>
      </c>
      <c r="I14" s="38">
        <v>8</v>
      </c>
      <c r="J14" s="38">
        <v>88</v>
      </c>
    </row>
    <row r="15" spans="2:28" x14ac:dyDescent="0.25">
      <c r="B15">
        <v>9</v>
      </c>
      <c r="C15">
        <v>1</v>
      </c>
      <c r="I15" s="38">
        <v>9</v>
      </c>
      <c r="J15" s="38">
        <v>91</v>
      </c>
      <c r="K15" s="2" t="s">
        <v>92</v>
      </c>
    </row>
    <row r="16" spans="2:28" x14ac:dyDescent="0.25">
      <c r="B16">
        <v>10</v>
      </c>
      <c r="C16">
        <v>4</v>
      </c>
      <c r="I16" s="38">
        <v>10</v>
      </c>
      <c r="J16" s="38">
        <v>64</v>
      </c>
      <c r="K16">
        <f>COUNTIF(J7:J56,"&gt;75")</f>
        <v>25</v>
      </c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</row>
    <row r="17" spans="2:29" x14ac:dyDescent="0.25">
      <c r="B17">
        <v>11</v>
      </c>
      <c r="C17">
        <v>1</v>
      </c>
      <c r="I17" s="38">
        <v>11</v>
      </c>
      <c r="J17" s="38">
        <v>72</v>
      </c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Z17" t="s">
        <v>158</v>
      </c>
    </row>
    <row r="18" spans="2:29" x14ac:dyDescent="0.25">
      <c r="B18">
        <v>12</v>
      </c>
      <c r="C18">
        <v>3</v>
      </c>
      <c r="I18" s="38">
        <v>12</v>
      </c>
      <c r="J18" s="38">
        <v>77</v>
      </c>
      <c r="K18" s="2" t="s">
        <v>93</v>
      </c>
      <c r="M18" s="58"/>
      <c r="N18" s="58" t="s">
        <v>118</v>
      </c>
      <c r="O18" s="58"/>
      <c r="P18" s="58"/>
      <c r="Q18" s="58"/>
      <c r="R18" s="58"/>
      <c r="S18" s="58"/>
      <c r="T18" s="58"/>
      <c r="U18" s="58"/>
      <c r="V18" s="58"/>
      <c r="W18" s="58"/>
      <c r="Y18" s="47"/>
      <c r="Z18" s="47" t="s">
        <v>118</v>
      </c>
      <c r="AA18" s="47" t="s">
        <v>159</v>
      </c>
      <c r="AB18" s="47"/>
      <c r="AC18" s="47"/>
    </row>
    <row r="19" spans="2:29" x14ac:dyDescent="0.25">
      <c r="B19">
        <v>13</v>
      </c>
      <c r="C19">
        <v>5</v>
      </c>
      <c r="I19" s="38">
        <v>13</v>
      </c>
      <c r="J19" s="38">
        <v>85</v>
      </c>
      <c r="K19">
        <f>COUNTIF(J7:J56,"&gt;=85")</f>
        <v>11</v>
      </c>
      <c r="L19" t="e">
        <f>_xlfn.BINOM.DIST(K19,5,0.5,FALSE)</f>
        <v>#NUM!</v>
      </c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Y19" s="38"/>
      <c r="Z19" s="38">
        <v>1</v>
      </c>
      <c r="AA19" s="38">
        <v>78</v>
      </c>
      <c r="AB19" s="38"/>
      <c r="AC19" s="38"/>
    </row>
    <row r="20" spans="2:29" x14ac:dyDescent="0.25">
      <c r="B20">
        <v>14</v>
      </c>
      <c r="C20">
        <v>6</v>
      </c>
      <c r="I20" s="38">
        <v>14</v>
      </c>
      <c r="J20" s="38">
        <v>59</v>
      </c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Y20" s="38"/>
      <c r="Z20" s="38">
        <v>2</v>
      </c>
      <c r="AA20" s="38">
        <v>82</v>
      </c>
      <c r="AB20" s="38"/>
      <c r="AC20" s="38"/>
    </row>
    <row r="21" spans="2:29" x14ac:dyDescent="0.25">
      <c r="B21">
        <v>15</v>
      </c>
      <c r="C21">
        <v>4</v>
      </c>
      <c r="I21" s="38">
        <v>15</v>
      </c>
      <c r="J21" s="38">
        <v>68</v>
      </c>
      <c r="K21" s="2" t="s">
        <v>94</v>
      </c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Y21" s="38"/>
      <c r="Z21" s="38">
        <v>3</v>
      </c>
      <c r="AA21" s="38">
        <v>85</v>
      </c>
      <c r="AB21" s="38"/>
      <c r="AC21" s="38"/>
    </row>
    <row r="22" spans="2:29" x14ac:dyDescent="0.25">
      <c r="B22">
        <v>16</v>
      </c>
      <c r="C22">
        <v>3</v>
      </c>
      <c r="I22" s="38">
        <v>16</v>
      </c>
      <c r="J22" s="38">
        <v>74</v>
      </c>
      <c r="K22">
        <f>COUNTIF(J7:J56,"&gt;=90")</f>
        <v>5</v>
      </c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Y22" s="38"/>
      <c r="Z22" s="38">
        <v>4</v>
      </c>
      <c r="AA22" s="38">
        <v>79</v>
      </c>
      <c r="AB22" s="38"/>
      <c r="AC22" s="38"/>
    </row>
    <row r="23" spans="2:29" x14ac:dyDescent="0.25">
      <c r="B23">
        <v>17</v>
      </c>
      <c r="C23">
        <v>5</v>
      </c>
      <c r="I23" s="38">
        <v>17</v>
      </c>
      <c r="J23" s="38">
        <v>79</v>
      </c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Y23" s="38"/>
      <c r="Z23" s="38">
        <v>5</v>
      </c>
      <c r="AA23" s="38">
        <v>81</v>
      </c>
      <c r="AB23" s="38"/>
      <c r="AC23" s="38"/>
    </row>
    <row r="24" spans="2:29" x14ac:dyDescent="0.25">
      <c r="B24">
        <v>18</v>
      </c>
      <c r="C24">
        <v>2</v>
      </c>
      <c r="I24" s="38">
        <v>18</v>
      </c>
      <c r="J24" s="38">
        <v>82</v>
      </c>
      <c r="K24">
        <f>2/15</f>
        <v>0.13333333333333333</v>
      </c>
      <c r="L24">
        <f>_xlfn.BINOM.DIST(K24,5,0.1,FALSE)</f>
        <v>0.59048999999999996</v>
      </c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Y24" s="38"/>
      <c r="Z24" s="38">
        <v>6</v>
      </c>
      <c r="AA24" s="38">
        <v>76</v>
      </c>
      <c r="AB24" s="38"/>
      <c r="AC24" s="38"/>
    </row>
    <row r="25" spans="2:29" x14ac:dyDescent="0.25">
      <c r="B25">
        <v>19</v>
      </c>
      <c r="C25">
        <v>3</v>
      </c>
      <c r="I25" s="38">
        <v>19</v>
      </c>
      <c r="J25" s="38">
        <v>65</v>
      </c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Y25" s="38"/>
      <c r="Z25" s="38">
        <v>7</v>
      </c>
      <c r="AA25" s="38">
        <v>84</v>
      </c>
      <c r="AB25" s="38"/>
      <c r="AC25" s="38"/>
    </row>
    <row r="26" spans="2:29" x14ac:dyDescent="0.25">
      <c r="B26">
        <v>20</v>
      </c>
      <c r="C26">
        <v>5</v>
      </c>
      <c r="H26" t="e">
        <f>(B9-AVERAGE(G26:G35))/_xlfn.STDEV.S(G26:G35)</f>
        <v>#DIV/0!</v>
      </c>
      <c r="I26" s="38">
        <v>20</v>
      </c>
      <c r="J26" s="38">
        <v>71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Y26" s="38"/>
      <c r="Z26" s="38">
        <v>8</v>
      </c>
      <c r="AA26" s="38">
        <v>80</v>
      </c>
      <c r="AB26" s="38"/>
      <c r="AC26" s="38"/>
    </row>
    <row r="27" spans="2:29" x14ac:dyDescent="0.25">
      <c r="B27">
        <v>21</v>
      </c>
      <c r="C27">
        <v>1</v>
      </c>
      <c r="F27" s="4"/>
      <c r="G27" s="4"/>
      <c r="H27" s="4" t="e">
        <f>(B10-AVERAGE(G27:G36))/_xlfn.STDEV.S(G27:G36)</f>
        <v>#DIV/0!</v>
      </c>
      <c r="I27" s="38">
        <v>21</v>
      </c>
      <c r="J27" s="38">
        <v>76</v>
      </c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Y27" s="38"/>
      <c r="Z27" s="38">
        <v>9</v>
      </c>
      <c r="AA27" s="38">
        <v>77</v>
      </c>
      <c r="AB27" s="38"/>
      <c r="AC27" s="38"/>
    </row>
    <row r="28" spans="2:29" x14ac:dyDescent="0.25">
      <c r="B28">
        <v>22</v>
      </c>
      <c r="C28">
        <v>3</v>
      </c>
      <c r="F28" s="50"/>
      <c r="G28" s="50"/>
      <c r="H28" s="50"/>
      <c r="I28" s="38">
        <v>22</v>
      </c>
      <c r="J28" s="38">
        <v>83</v>
      </c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Y28" s="38"/>
      <c r="Z28" s="38">
        <v>10</v>
      </c>
      <c r="AA28" s="38">
        <v>83</v>
      </c>
      <c r="AB28" s="38"/>
      <c r="AC28" s="38"/>
    </row>
    <row r="29" spans="2:29" x14ac:dyDescent="0.25">
      <c r="B29">
        <v>23</v>
      </c>
      <c r="C29">
        <v>2</v>
      </c>
      <c r="I29" s="38">
        <v>23</v>
      </c>
      <c r="J29" s="38">
        <v>87</v>
      </c>
      <c r="M29" s="58"/>
      <c r="N29" s="58" t="s">
        <v>157</v>
      </c>
      <c r="O29" s="58"/>
      <c r="P29" s="58"/>
      <c r="Q29" s="58"/>
      <c r="R29" s="58"/>
      <c r="S29" s="58"/>
      <c r="T29" s="58"/>
      <c r="U29" s="58"/>
      <c r="V29" s="58"/>
      <c r="W29" s="58"/>
    </row>
    <row r="30" spans="2:29" x14ac:dyDescent="0.25">
      <c r="B30">
        <v>24</v>
      </c>
      <c r="C30">
        <v>5</v>
      </c>
      <c r="I30" s="38">
        <v>24</v>
      </c>
      <c r="J30" s="38">
        <v>92</v>
      </c>
      <c r="M30" s="58"/>
      <c r="N30" s="60" t="s">
        <v>147</v>
      </c>
      <c r="O30" s="60" t="s">
        <v>148</v>
      </c>
      <c r="P30" s="60" t="s">
        <v>149</v>
      </c>
      <c r="Q30" s="60" t="s">
        <v>142</v>
      </c>
      <c r="R30" s="60" t="s">
        <v>141</v>
      </c>
      <c r="S30" s="58"/>
      <c r="T30" s="58"/>
      <c r="U30" s="58"/>
      <c r="V30" s="58"/>
      <c r="W30" s="58"/>
    </row>
    <row r="31" spans="2:29" x14ac:dyDescent="0.25">
      <c r="B31">
        <v>25</v>
      </c>
      <c r="C31">
        <v>4</v>
      </c>
      <c r="I31" s="38">
        <v>25</v>
      </c>
      <c r="J31" s="38">
        <v>55</v>
      </c>
      <c r="M31" s="58"/>
      <c r="N31" s="60">
        <v>1</v>
      </c>
      <c r="O31" s="60">
        <v>3</v>
      </c>
      <c r="P31" s="60">
        <v>5</v>
      </c>
      <c r="Q31" s="60">
        <f>_xlfn.COVARIANCE.S(O31:O35,P31:P35)</f>
        <v>7.4499999999999993</v>
      </c>
      <c r="R31" s="60">
        <f>_xlfn.COVARIANCE.P(O31:O35,P31:P35)</f>
        <v>5.9599999999999991</v>
      </c>
      <c r="S31" s="58"/>
      <c r="T31" s="58"/>
      <c r="U31" s="58"/>
      <c r="V31" s="58"/>
      <c r="W31" s="58"/>
    </row>
    <row r="32" spans="2:29" x14ac:dyDescent="0.25">
      <c r="B32">
        <v>26</v>
      </c>
      <c r="C32">
        <v>3</v>
      </c>
      <c r="I32" s="38">
        <v>26</v>
      </c>
      <c r="J32" s="38">
        <v>61</v>
      </c>
      <c r="M32" s="58"/>
      <c r="N32" s="60">
        <v>2</v>
      </c>
      <c r="O32" s="60">
        <v>2</v>
      </c>
      <c r="P32" s="60">
        <v>4.5</v>
      </c>
      <c r="Q32" s="60"/>
      <c r="R32" s="60"/>
      <c r="S32" s="58" t="s">
        <v>150</v>
      </c>
      <c r="T32" s="58"/>
      <c r="U32" s="58"/>
      <c r="V32" s="58"/>
      <c r="W32" s="58"/>
    </row>
    <row r="33" spans="2:26" x14ac:dyDescent="0.25">
      <c r="B33">
        <v>27</v>
      </c>
      <c r="C33">
        <v>2</v>
      </c>
      <c r="I33" s="38">
        <v>27</v>
      </c>
      <c r="J33" s="38">
        <v>70</v>
      </c>
      <c r="M33" s="58"/>
      <c r="N33" s="60">
        <v>3</v>
      </c>
      <c r="O33" s="60">
        <v>6</v>
      </c>
      <c r="P33" s="60">
        <v>9</v>
      </c>
      <c r="Q33" s="60"/>
      <c r="R33" s="60"/>
      <c r="S33" s="58"/>
      <c r="T33" s="58"/>
      <c r="U33" s="58"/>
      <c r="V33" s="58"/>
      <c r="W33" s="58"/>
      <c r="Y33" s="47"/>
      <c r="Z33" s="47"/>
    </row>
    <row r="34" spans="2:26" x14ac:dyDescent="0.25">
      <c r="B34">
        <v>28</v>
      </c>
      <c r="C34">
        <v>3</v>
      </c>
      <c r="I34" s="38">
        <v>28</v>
      </c>
      <c r="J34" s="38">
        <v>75</v>
      </c>
      <c r="M34" s="58"/>
      <c r="N34" s="60">
        <v>4</v>
      </c>
      <c r="O34" s="60">
        <v>1</v>
      </c>
      <c r="P34" s="60">
        <v>1</v>
      </c>
      <c r="Q34" s="60"/>
      <c r="R34" s="60"/>
      <c r="S34" s="58"/>
      <c r="T34" s="58"/>
      <c r="U34" s="58"/>
      <c r="V34" s="58"/>
      <c r="W34" s="58"/>
      <c r="Y34" s="38"/>
      <c r="Z34" s="38"/>
    </row>
    <row r="35" spans="2:26" x14ac:dyDescent="0.25">
      <c r="B35">
        <v>29</v>
      </c>
      <c r="C35">
        <v>1</v>
      </c>
      <c r="I35" s="38">
        <v>29</v>
      </c>
      <c r="J35" s="38">
        <v>80</v>
      </c>
      <c r="M35" s="58"/>
      <c r="N35" s="60">
        <v>5</v>
      </c>
      <c r="O35" s="60">
        <v>0</v>
      </c>
      <c r="P35" s="60">
        <v>1</v>
      </c>
      <c r="Q35" s="60"/>
      <c r="R35" s="60"/>
      <c r="S35" s="58"/>
      <c r="T35" s="58"/>
      <c r="U35" s="58"/>
      <c r="V35" s="58"/>
      <c r="W35" s="58"/>
      <c r="Y35" s="38"/>
      <c r="Z35" s="38"/>
    </row>
    <row r="36" spans="2:26" x14ac:dyDescent="0.25">
      <c r="B36">
        <v>30</v>
      </c>
      <c r="C36">
        <v>3</v>
      </c>
      <c r="I36" s="38">
        <v>30</v>
      </c>
      <c r="J36" s="38">
        <v>84</v>
      </c>
      <c r="Y36" s="38"/>
      <c r="Z36" s="38"/>
    </row>
    <row r="37" spans="2:26" x14ac:dyDescent="0.25">
      <c r="B37">
        <v>31</v>
      </c>
      <c r="C37">
        <v>3</v>
      </c>
      <c r="I37" s="38">
        <v>31</v>
      </c>
      <c r="J37" s="38">
        <v>66</v>
      </c>
      <c r="Y37" s="38"/>
      <c r="Z37" s="38"/>
    </row>
    <row r="38" spans="2:26" x14ac:dyDescent="0.25">
      <c r="B38">
        <v>32</v>
      </c>
      <c r="C38">
        <v>4</v>
      </c>
      <c r="I38" s="38">
        <v>32</v>
      </c>
      <c r="J38" s="38">
        <v>72</v>
      </c>
      <c r="Y38" s="38"/>
      <c r="Z38" s="38"/>
    </row>
    <row r="39" spans="2:26" x14ac:dyDescent="0.25">
      <c r="B39">
        <v>33</v>
      </c>
      <c r="C39">
        <v>6</v>
      </c>
      <c r="I39" s="38">
        <v>33</v>
      </c>
      <c r="J39" s="38">
        <v>78</v>
      </c>
      <c r="Y39" s="38"/>
      <c r="Z39" s="38"/>
    </row>
    <row r="40" spans="2:26" x14ac:dyDescent="0.25">
      <c r="B40">
        <v>34</v>
      </c>
      <c r="C40">
        <v>3</v>
      </c>
      <c r="I40" s="38">
        <v>34</v>
      </c>
      <c r="J40" s="38">
        <v>89</v>
      </c>
      <c r="Y40" s="38"/>
      <c r="Z40" s="38"/>
    </row>
    <row r="41" spans="2:26" x14ac:dyDescent="0.25">
      <c r="B41">
        <v>35</v>
      </c>
      <c r="C41">
        <v>5</v>
      </c>
      <c r="I41" s="38">
        <v>35</v>
      </c>
      <c r="J41" s="38">
        <v>94</v>
      </c>
      <c r="Y41" s="38"/>
      <c r="Z41" s="38"/>
    </row>
    <row r="42" spans="2:26" x14ac:dyDescent="0.25">
      <c r="B42">
        <v>36</v>
      </c>
      <c r="C42">
        <v>2</v>
      </c>
      <c r="I42" s="38">
        <v>36</v>
      </c>
      <c r="J42" s="38">
        <v>58</v>
      </c>
      <c r="Y42" s="38"/>
      <c r="Z42" s="38"/>
    </row>
    <row r="43" spans="2:26" x14ac:dyDescent="0.25">
      <c r="B43">
        <v>37</v>
      </c>
      <c r="C43">
        <v>4</v>
      </c>
      <c r="I43" s="38">
        <v>37</v>
      </c>
      <c r="J43" s="38">
        <v>63</v>
      </c>
      <c r="Y43" s="38"/>
      <c r="Z43" s="38"/>
    </row>
    <row r="44" spans="2:26" x14ac:dyDescent="0.25">
      <c r="B44">
        <v>38</v>
      </c>
      <c r="C44">
        <v>2</v>
      </c>
      <c r="I44" s="38">
        <v>38</v>
      </c>
      <c r="J44" s="38">
        <v>74</v>
      </c>
    </row>
    <row r="45" spans="2:26" x14ac:dyDescent="0.25">
      <c r="B45">
        <v>39</v>
      </c>
      <c r="C45">
        <v>6</v>
      </c>
      <c r="I45" s="38">
        <v>39</v>
      </c>
      <c r="J45" s="38">
        <v>77</v>
      </c>
    </row>
    <row r="46" spans="2:26" x14ac:dyDescent="0.25">
      <c r="B46">
        <v>40</v>
      </c>
      <c r="C46">
        <v>2</v>
      </c>
      <c r="I46" s="38">
        <v>40</v>
      </c>
      <c r="J46" s="38">
        <v>81</v>
      </c>
    </row>
    <row r="47" spans="2:26" x14ac:dyDescent="0.25">
      <c r="B47">
        <v>41</v>
      </c>
      <c r="C47">
        <v>4</v>
      </c>
      <c r="I47" s="38">
        <v>41</v>
      </c>
      <c r="J47" s="38">
        <v>86</v>
      </c>
    </row>
    <row r="48" spans="2:26" x14ac:dyDescent="0.25">
      <c r="B48">
        <v>42</v>
      </c>
      <c r="C48">
        <v>6</v>
      </c>
      <c r="I48" s="38">
        <v>42</v>
      </c>
      <c r="J48" s="38">
        <v>90</v>
      </c>
    </row>
    <row r="49" spans="2:10" x14ac:dyDescent="0.25">
      <c r="B49">
        <v>43</v>
      </c>
      <c r="C49">
        <v>1</v>
      </c>
      <c r="I49" s="38">
        <v>43</v>
      </c>
      <c r="J49" s="38">
        <v>69</v>
      </c>
    </row>
    <row r="50" spans="2:10" x14ac:dyDescent="0.25">
      <c r="B50">
        <v>44</v>
      </c>
      <c r="C50">
        <v>3</v>
      </c>
      <c r="I50" s="38">
        <v>44</v>
      </c>
      <c r="J50" s="38">
        <v>73</v>
      </c>
    </row>
    <row r="51" spans="2:10" x14ac:dyDescent="0.25">
      <c r="B51">
        <v>45</v>
      </c>
      <c r="C51">
        <v>3</v>
      </c>
      <c r="I51" s="38">
        <v>45</v>
      </c>
      <c r="J51" s="38">
        <v>79</v>
      </c>
    </row>
    <row r="52" spans="2:10" x14ac:dyDescent="0.25">
      <c r="B52">
        <v>46</v>
      </c>
      <c r="C52">
        <v>6</v>
      </c>
      <c r="I52" s="38">
        <v>46</v>
      </c>
      <c r="J52" s="38">
        <v>82</v>
      </c>
    </row>
    <row r="53" spans="2:10" x14ac:dyDescent="0.25">
      <c r="B53">
        <v>47</v>
      </c>
      <c r="C53">
        <v>1</v>
      </c>
      <c r="I53" s="38">
        <v>47</v>
      </c>
      <c r="J53" s="38">
        <v>88</v>
      </c>
    </row>
    <row r="54" spans="2:10" x14ac:dyDescent="0.25">
      <c r="B54">
        <v>48</v>
      </c>
      <c r="C54">
        <v>1</v>
      </c>
      <c r="I54" s="38">
        <v>48</v>
      </c>
      <c r="J54" s="38">
        <v>95</v>
      </c>
    </row>
    <row r="55" spans="2:10" x14ac:dyDescent="0.25">
      <c r="B55">
        <v>49</v>
      </c>
      <c r="C55">
        <v>6</v>
      </c>
      <c r="I55" s="38">
        <v>49</v>
      </c>
      <c r="J55" s="38">
        <v>60</v>
      </c>
    </row>
    <row r="56" spans="2:10" x14ac:dyDescent="0.25">
      <c r="B56">
        <v>50</v>
      </c>
      <c r="C56">
        <v>3</v>
      </c>
      <c r="I56" s="38">
        <v>50</v>
      </c>
      <c r="J56" s="38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A512-1DC9-4C14-9425-124AD2954238}">
  <dimension ref="A1:AP43"/>
  <sheetViews>
    <sheetView tabSelected="1" topLeftCell="W10" zoomScaleNormal="100" workbookViewId="0">
      <selection activeCell="AG36" sqref="AG36"/>
    </sheetView>
  </sheetViews>
  <sheetFormatPr defaultRowHeight="15" x14ac:dyDescent="0.25"/>
  <cols>
    <col min="3" max="3" width="19.42578125" customWidth="1"/>
    <col min="8" max="8" width="12.5703125" customWidth="1"/>
    <col min="9" max="9" width="6.5703125" customWidth="1"/>
    <col min="10" max="10" width="11.42578125" customWidth="1"/>
    <col min="11" max="11" width="16.28515625" customWidth="1"/>
    <col min="12" max="12" width="25.42578125" customWidth="1"/>
    <col min="13" max="13" width="18.140625" customWidth="1"/>
    <col min="14" max="14" width="17.42578125" customWidth="1"/>
    <col min="15" max="15" width="17.85546875" customWidth="1"/>
    <col min="16" max="16" width="18.5703125" customWidth="1"/>
    <col min="17" max="17" width="9.28515625" customWidth="1"/>
    <col min="18" max="18" width="8.140625" customWidth="1"/>
    <col min="19" max="19" width="9" customWidth="1"/>
    <col min="20" max="20" width="8.85546875" customWidth="1"/>
    <col min="21" max="21" width="13.5703125" customWidth="1"/>
    <col min="22" max="22" width="11.85546875" customWidth="1"/>
    <col min="23" max="23" width="14.42578125" customWidth="1"/>
    <col min="24" max="24" width="10.140625" customWidth="1"/>
    <col min="27" max="27" width="18.7109375" customWidth="1"/>
    <col min="28" max="28" width="19.140625" customWidth="1"/>
    <col min="30" max="30" width="14" customWidth="1"/>
    <col min="31" max="31" width="12.42578125" customWidth="1"/>
    <col min="32" max="32" width="14" customWidth="1"/>
    <col min="33" max="33" width="15.42578125" customWidth="1"/>
    <col min="34" max="34" width="13.42578125" customWidth="1"/>
    <col min="37" max="37" width="12" bestFit="1" customWidth="1"/>
  </cols>
  <sheetData>
    <row r="1" spans="4:42" ht="18.75" x14ac:dyDescent="0.3">
      <c r="G1" s="46" t="s">
        <v>97</v>
      </c>
      <c r="AK1" s="2" t="s">
        <v>163</v>
      </c>
    </row>
    <row r="2" spans="4:42" ht="15.75" x14ac:dyDescent="0.25">
      <c r="D2" s="2"/>
      <c r="E2" s="2"/>
      <c r="F2" s="2"/>
      <c r="G2" s="2"/>
      <c r="N2" s="48" t="s">
        <v>135</v>
      </c>
      <c r="V2" s="2" t="s">
        <v>151</v>
      </c>
      <c r="AK2" s="50"/>
      <c r="AL2" s="50"/>
      <c r="AM2" s="50"/>
      <c r="AN2" s="50"/>
      <c r="AO2" s="50"/>
    </row>
    <row r="3" spans="4:42" ht="19.5" customHeight="1" x14ac:dyDescent="0.25">
      <c r="D3" s="2"/>
      <c r="E3" s="2" t="s">
        <v>99</v>
      </c>
      <c r="F3" s="2"/>
      <c r="G3" s="2"/>
      <c r="J3" s="23" t="s">
        <v>102</v>
      </c>
      <c r="K3" s="23" t="s">
        <v>103</v>
      </c>
      <c r="L3" s="28" t="s">
        <v>104</v>
      </c>
      <c r="N3" s="23" t="s">
        <v>118</v>
      </c>
      <c r="O3" s="23" t="s">
        <v>136</v>
      </c>
      <c r="P3" s="51" t="s">
        <v>137</v>
      </c>
      <c r="Q3" s="53"/>
      <c r="R3" s="53"/>
      <c r="S3" s="53"/>
      <c r="T3" s="53"/>
      <c r="U3" s="23" t="s">
        <v>118</v>
      </c>
      <c r="V3" s="23" t="s">
        <v>136</v>
      </c>
      <c r="W3" s="64" t="s">
        <v>140</v>
      </c>
      <c r="X3" s="28" t="s">
        <v>154</v>
      </c>
      <c r="Y3" s="28" t="s">
        <v>152</v>
      </c>
      <c r="Z3" s="28" t="s">
        <v>153</v>
      </c>
      <c r="AA3" s="28" t="s">
        <v>156</v>
      </c>
      <c r="AB3" s="28" t="s">
        <v>155</v>
      </c>
      <c r="AE3" s="2" t="s">
        <v>160</v>
      </c>
      <c r="AK3" s="4" t="s">
        <v>184</v>
      </c>
      <c r="AL3" s="4"/>
      <c r="AM3" s="4"/>
      <c r="AN3" s="4"/>
      <c r="AO3" s="50"/>
    </row>
    <row r="4" spans="4:42" x14ac:dyDescent="0.25">
      <c r="D4" s="2"/>
      <c r="E4" s="2" t="s">
        <v>98</v>
      </c>
      <c r="F4" s="2"/>
      <c r="G4" s="2"/>
      <c r="J4" s="24">
        <v>1</v>
      </c>
      <c r="K4" s="24">
        <v>18</v>
      </c>
      <c r="L4" s="4">
        <f>_xlfn.POISSON.DIST(0,10,TRUE)</f>
        <v>4.5399929762484854E-5</v>
      </c>
      <c r="N4" s="24" t="s">
        <v>120</v>
      </c>
      <c r="O4" s="24">
        <v>165.4</v>
      </c>
      <c r="P4" s="4">
        <f>_xlfn.STDEV.S(O4:O13)</f>
        <v>2.4020593017011223</v>
      </c>
      <c r="Q4" s="50"/>
      <c r="R4" s="50"/>
      <c r="S4" s="50"/>
      <c r="T4" s="50"/>
      <c r="U4" s="59" t="s">
        <v>120</v>
      </c>
      <c r="V4" s="59">
        <v>165.4</v>
      </c>
      <c r="W4" s="65">
        <v>52.5</v>
      </c>
      <c r="X4" s="4">
        <f>COVAR(V4:V13,W4:W13)</f>
        <v>6.7032999999999916</v>
      </c>
      <c r="Y4" s="4">
        <f>VAR(V4:V13)</f>
        <v>5.7698888888888824</v>
      </c>
      <c r="Z4" s="4">
        <f>VAR(W4:W13)</f>
        <v>97.23122222222122</v>
      </c>
      <c r="AA4" s="4">
        <f>_xlfn.COVARIANCE.S(V4:V13,W4:W13)/(_xlfn.STDEV.S(V4:V13)*_xlfn.STDEV.S(W4:W13))</f>
        <v>0.31445575643725526</v>
      </c>
      <c r="AB4" s="60">
        <f>CORREL(V4:V13,W4:W13)</f>
        <v>0.3144557564372536</v>
      </c>
      <c r="AE4" s="2" t="s">
        <v>161</v>
      </c>
      <c r="AK4" s="4"/>
      <c r="AL4" s="4"/>
      <c r="AM4" s="4"/>
      <c r="AN4" s="4"/>
      <c r="AO4" s="50"/>
    </row>
    <row r="5" spans="4:42" x14ac:dyDescent="0.25">
      <c r="D5" s="2"/>
      <c r="E5" s="2" t="s">
        <v>100</v>
      </c>
      <c r="F5" s="2"/>
      <c r="G5" s="2"/>
      <c r="J5" s="24">
        <v>2</v>
      </c>
      <c r="K5" s="24">
        <v>22</v>
      </c>
      <c r="L5" s="4">
        <f t="shared" ref="L5:L14" si="0">_xlfn.POISSON.DIST(0,10,TRUE)</f>
        <v>4.5399929762484854E-5</v>
      </c>
      <c r="N5" s="24" t="s">
        <v>121</v>
      </c>
      <c r="O5" s="24">
        <v>170.2</v>
      </c>
      <c r="P5" s="4"/>
      <c r="Q5" s="50"/>
      <c r="R5" s="50"/>
      <c r="S5" s="50"/>
      <c r="T5" s="50"/>
      <c r="U5" s="59" t="s">
        <v>121</v>
      </c>
      <c r="V5" s="59">
        <v>170.2</v>
      </c>
      <c r="W5" s="65">
        <v>58.3</v>
      </c>
      <c r="X5" s="4"/>
      <c r="Y5" s="4"/>
      <c r="Z5" s="4"/>
      <c r="AB5" s="4"/>
      <c r="AE5" s="2" t="s">
        <v>162</v>
      </c>
      <c r="AK5" s="69"/>
      <c r="AL5" s="69">
        <v>60</v>
      </c>
      <c r="AM5" s="69">
        <v>68</v>
      </c>
      <c r="AN5" s="4"/>
      <c r="AO5" s="50"/>
    </row>
    <row r="6" spans="4:42" x14ac:dyDescent="0.25">
      <c r="D6" s="2"/>
      <c r="E6" s="2" t="s">
        <v>101</v>
      </c>
      <c r="F6" s="2"/>
      <c r="G6" s="2"/>
      <c r="J6" s="24">
        <v>3</v>
      </c>
      <c r="K6" s="24">
        <v>20</v>
      </c>
      <c r="L6" s="4">
        <f t="shared" si="0"/>
        <v>4.5399929762484854E-5</v>
      </c>
      <c r="N6" s="24" t="s">
        <v>122</v>
      </c>
      <c r="O6" s="24">
        <v>168.8</v>
      </c>
      <c r="P6" s="4"/>
      <c r="Q6" s="50"/>
      <c r="R6" s="50"/>
      <c r="S6" s="50"/>
      <c r="T6" s="50"/>
      <c r="U6" s="59" t="s">
        <v>122</v>
      </c>
      <c r="V6" s="59">
        <v>168.8</v>
      </c>
      <c r="W6" s="65">
        <v>61.8</v>
      </c>
      <c r="X6" s="4"/>
      <c r="Y6" s="4"/>
      <c r="Z6" s="4"/>
      <c r="AA6" s="4"/>
      <c r="AB6" s="4"/>
      <c r="AK6" s="70" t="s">
        <v>173</v>
      </c>
      <c r="AL6" s="70">
        <v>62.357142857142854</v>
      </c>
      <c r="AM6" s="70">
        <v>70.642857142857139</v>
      </c>
      <c r="AN6" s="4"/>
      <c r="AO6" s="50"/>
    </row>
    <row r="7" spans="4:42" x14ac:dyDescent="0.25">
      <c r="D7" s="2"/>
      <c r="E7" s="2"/>
      <c r="F7" s="2"/>
      <c r="G7" s="2"/>
      <c r="J7" s="24">
        <v>4</v>
      </c>
      <c r="K7" s="24">
        <v>19</v>
      </c>
      <c r="L7" s="4">
        <f t="shared" si="0"/>
        <v>4.5399929762484854E-5</v>
      </c>
      <c r="N7" s="24" t="s">
        <v>123</v>
      </c>
      <c r="O7" s="24">
        <v>172.1</v>
      </c>
      <c r="P7" s="4"/>
      <c r="Q7" s="50"/>
      <c r="R7" s="50"/>
      <c r="S7" s="50"/>
      <c r="T7" s="50"/>
      <c r="U7" s="59" t="s">
        <v>123</v>
      </c>
      <c r="V7" s="59">
        <v>172.1</v>
      </c>
      <c r="W7" s="65">
        <v>65.2</v>
      </c>
      <c r="X7" s="4"/>
      <c r="Y7" s="4"/>
      <c r="Z7" s="4"/>
      <c r="AA7" s="4"/>
      <c r="AB7" s="4"/>
      <c r="AK7" s="70" t="s">
        <v>174</v>
      </c>
      <c r="AL7" s="70">
        <v>5.6318681318681332</v>
      </c>
      <c r="AM7" s="70">
        <v>7.1703296703296688</v>
      </c>
      <c r="AN7" s="4"/>
      <c r="AO7" s="50"/>
    </row>
    <row r="8" spans="4:42" x14ac:dyDescent="0.25">
      <c r="J8" s="24">
        <v>5</v>
      </c>
      <c r="K8" s="24">
        <v>21</v>
      </c>
      <c r="L8" s="4">
        <f t="shared" si="0"/>
        <v>4.5399929762484854E-5</v>
      </c>
      <c r="N8" s="24" t="s">
        <v>124</v>
      </c>
      <c r="O8" s="24">
        <v>166.9</v>
      </c>
      <c r="P8" s="4"/>
      <c r="Q8" s="50"/>
      <c r="R8" s="50"/>
      <c r="S8" s="50"/>
      <c r="T8" s="50"/>
      <c r="U8" s="59" t="s">
        <v>124</v>
      </c>
      <c r="V8" s="59">
        <v>166.9</v>
      </c>
      <c r="W8" s="65">
        <v>68.7</v>
      </c>
      <c r="X8" s="4"/>
      <c r="Z8" s="4"/>
      <c r="AA8" s="4"/>
      <c r="AB8" s="4"/>
      <c r="AK8" s="70" t="s">
        <v>175</v>
      </c>
      <c r="AL8" s="70">
        <v>14</v>
      </c>
      <c r="AM8" s="70">
        <v>14</v>
      </c>
      <c r="AN8" s="4"/>
      <c r="AO8" s="50"/>
    </row>
    <row r="9" spans="4:42" x14ac:dyDescent="0.25">
      <c r="J9" s="24">
        <v>6</v>
      </c>
      <c r="K9" s="24">
        <v>17</v>
      </c>
      <c r="L9" s="4">
        <f t="shared" si="0"/>
        <v>4.5399929762484854E-5</v>
      </c>
      <c r="N9" s="24" t="s">
        <v>125</v>
      </c>
      <c r="O9" s="24">
        <v>169.5</v>
      </c>
      <c r="P9" s="4"/>
      <c r="Q9" s="50"/>
      <c r="R9" s="50"/>
      <c r="S9" s="50"/>
      <c r="T9" s="50"/>
      <c r="U9" s="59" t="s">
        <v>125</v>
      </c>
      <c r="V9" s="59">
        <v>169.5</v>
      </c>
      <c r="W9" s="65">
        <v>70.099999999999994</v>
      </c>
      <c r="X9" s="4"/>
      <c r="Y9" s="4"/>
      <c r="Z9" s="4"/>
      <c r="AA9" s="4"/>
      <c r="AB9" s="4"/>
      <c r="AK9" s="70" t="s">
        <v>185</v>
      </c>
      <c r="AL9" s="70">
        <v>0.97790218474386748</v>
      </c>
      <c r="AM9" s="70"/>
      <c r="AN9" s="4"/>
      <c r="AO9" s="50"/>
    </row>
    <row r="10" spans="4:42" ht="30" x14ac:dyDescent="0.25">
      <c r="J10" s="24">
        <v>7</v>
      </c>
      <c r="K10" s="24">
        <v>23</v>
      </c>
      <c r="L10" s="4">
        <f t="shared" si="0"/>
        <v>4.5399929762484854E-5</v>
      </c>
      <c r="N10" s="24" t="s">
        <v>126</v>
      </c>
      <c r="O10" s="24">
        <v>171.3</v>
      </c>
      <c r="P10" s="4"/>
      <c r="Q10" s="50"/>
      <c r="R10" s="50"/>
      <c r="S10" s="50"/>
      <c r="T10" s="50"/>
      <c r="U10" s="59" t="s">
        <v>126</v>
      </c>
      <c r="V10" s="59">
        <v>171.3</v>
      </c>
      <c r="W10" s="65">
        <v>72.400000000000006</v>
      </c>
      <c r="X10" s="4"/>
      <c r="Y10" s="4"/>
      <c r="Z10" s="4"/>
      <c r="AA10" s="4"/>
      <c r="AB10" s="4"/>
      <c r="AD10" s="23" t="s">
        <v>118</v>
      </c>
      <c r="AE10" s="23" t="s">
        <v>164</v>
      </c>
      <c r="AF10" s="73" t="s">
        <v>183</v>
      </c>
      <c r="AG10" s="71" t="s">
        <v>165</v>
      </c>
      <c r="AH10" s="71" t="s">
        <v>166</v>
      </c>
      <c r="AI10" s="71" t="s">
        <v>167</v>
      </c>
      <c r="AJ10" s="68"/>
      <c r="AK10" s="70" t="s">
        <v>176</v>
      </c>
      <c r="AL10" s="70">
        <v>0</v>
      </c>
      <c r="AM10" s="70"/>
      <c r="AN10" s="4"/>
      <c r="AO10" s="50"/>
    </row>
    <row r="11" spans="4:42" x14ac:dyDescent="0.25">
      <c r="J11" s="24">
        <v>8</v>
      </c>
      <c r="K11" s="24">
        <v>20</v>
      </c>
      <c r="L11" s="4">
        <f t="shared" si="0"/>
        <v>4.5399929762484854E-5</v>
      </c>
      <c r="N11" s="24" t="s">
        <v>127</v>
      </c>
      <c r="O11" s="24">
        <v>167.6</v>
      </c>
      <c r="P11" s="4"/>
      <c r="Q11" s="50"/>
      <c r="R11" s="50"/>
      <c r="S11" s="50"/>
      <c r="T11" s="50"/>
      <c r="U11" s="59" t="s">
        <v>127</v>
      </c>
      <c r="V11" s="59">
        <v>167.6</v>
      </c>
      <c r="W11" s="65">
        <v>75.599999999999994</v>
      </c>
      <c r="X11" s="4"/>
      <c r="Y11" s="4"/>
      <c r="Z11" s="4"/>
      <c r="AA11" s="4"/>
      <c r="AB11" s="4"/>
      <c r="AD11" s="24" t="s">
        <v>120</v>
      </c>
      <c r="AE11" s="24" t="s">
        <v>168</v>
      </c>
      <c r="AF11" s="72">
        <v>1</v>
      </c>
      <c r="AG11" s="72">
        <v>60</v>
      </c>
      <c r="AH11" s="72">
        <v>68</v>
      </c>
      <c r="AI11" s="24" t="s">
        <v>169</v>
      </c>
      <c r="AJ11" s="38"/>
      <c r="AK11" s="70" t="s">
        <v>177</v>
      </c>
      <c r="AL11" s="70">
        <v>13</v>
      </c>
      <c r="AM11" s="70"/>
      <c r="AN11" s="4"/>
      <c r="AO11" s="50"/>
      <c r="AP11" s="50"/>
    </row>
    <row r="12" spans="4:42" x14ac:dyDescent="0.25">
      <c r="J12" s="24">
        <v>9</v>
      </c>
      <c r="K12" s="24">
        <v>18</v>
      </c>
      <c r="L12" s="4">
        <f t="shared" si="0"/>
        <v>4.5399929762484854E-5</v>
      </c>
      <c r="N12" s="24" t="s">
        <v>128</v>
      </c>
      <c r="O12" s="24">
        <v>173</v>
      </c>
      <c r="P12" s="4"/>
      <c r="Q12" s="50"/>
      <c r="R12" s="50"/>
      <c r="S12" s="50"/>
      <c r="T12" s="50"/>
      <c r="U12" s="59" t="s">
        <v>128</v>
      </c>
      <c r="V12" s="59">
        <v>173</v>
      </c>
      <c r="W12" s="65">
        <v>80.2</v>
      </c>
      <c r="X12" s="4"/>
      <c r="Y12" s="4"/>
      <c r="Z12" s="4"/>
      <c r="AA12" s="4"/>
      <c r="AB12" s="4"/>
      <c r="AD12" s="24" t="s">
        <v>121</v>
      </c>
      <c r="AE12" s="24" t="s">
        <v>170</v>
      </c>
      <c r="AF12" s="72">
        <v>0</v>
      </c>
      <c r="AG12" s="72">
        <v>62</v>
      </c>
      <c r="AH12" s="72">
        <v>70</v>
      </c>
      <c r="AI12" s="24" t="s">
        <v>169</v>
      </c>
      <c r="AJ12" s="38"/>
      <c r="AK12" s="70" t="s">
        <v>178</v>
      </c>
      <c r="AL12" s="70">
        <v>-50.719528667322976</v>
      </c>
      <c r="AM12" s="70"/>
      <c r="AN12" s="4"/>
      <c r="AO12" s="50"/>
      <c r="AP12" s="50"/>
    </row>
    <row r="13" spans="4:42" x14ac:dyDescent="0.25">
      <c r="J13" s="24">
        <v>10</v>
      </c>
      <c r="K13" s="24">
        <v>22</v>
      </c>
      <c r="L13" s="4">
        <f t="shared" si="0"/>
        <v>4.5399929762484854E-5</v>
      </c>
      <c r="N13" s="24" t="s">
        <v>129</v>
      </c>
      <c r="O13" s="24">
        <v>168.1</v>
      </c>
      <c r="P13" s="4"/>
      <c r="Q13" s="50"/>
      <c r="R13" s="50"/>
      <c r="S13" s="50"/>
      <c r="T13" s="50"/>
      <c r="U13" s="59" t="s">
        <v>129</v>
      </c>
      <c r="V13" s="59">
        <v>168.1</v>
      </c>
      <c r="W13" s="65">
        <v>84.5</v>
      </c>
      <c r="X13" s="4"/>
      <c r="Y13" s="4"/>
      <c r="Z13" s="4"/>
      <c r="AA13" s="4">
        <f>(SQRT(Y4)*SQRT(Z4))</f>
        <v>23.685720355376148</v>
      </c>
      <c r="AB13" s="4"/>
      <c r="AD13" s="24" t="s">
        <v>122</v>
      </c>
      <c r="AE13" s="24" t="s">
        <v>168</v>
      </c>
      <c r="AF13" s="72">
        <v>1</v>
      </c>
      <c r="AG13" s="72">
        <v>58</v>
      </c>
      <c r="AH13" s="72">
        <v>66</v>
      </c>
      <c r="AI13" s="24" t="s">
        <v>169</v>
      </c>
      <c r="AJ13" s="38"/>
      <c r="AK13" s="70" t="s">
        <v>179</v>
      </c>
      <c r="AL13" s="70">
        <v>1.2464289118023971E-16</v>
      </c>
      <c r="AM13" s="70"/>
      <c r="AN13" s="4"/>
      <c r="AO13" s="50"/>
      <c r="AP13" s="50"/>
    </row>
    <row r="14" spans="4:42" x14ac:dyDescent="0.25">
      <c r="I14" s="2" t="s">
        <v>105</v>
      </c>
      <c r="J14" s="4">
        <f>COUNT(J4:J13)</f>
        <v>10</v>
      </c>
      <c r="K14" s="4">
        <f>SUM(K4:K13)</f>
        <v>200</v>
      </c>
      <c r="L14" s="4">
        <f t="shared" si="0"/>
        <v>4.5399929762484854E-5</v>
      </c>
      <c r="AD14" s="24" t="s">
        <v>123</v>
      </c>
      <c r="AE14" s="24" t="s">
        <v>170</v>
      </c>
      <c r="AF14" s="72">
        <v>0</v>
      </c>
      <c r="AG14" s="72">
        <v>64</v>
      </c>
      <c r="AH14" s="72">
        <v>72</v>
      </c>
      <c r="AI14" s="24" t="s">
        <v>169</v>
      </c>
      <c r="AJ14" s="38"/>
      <c r="AK14" s="70" t="s">
        <v>180</v>
      </c>
      <c r="AL14" s="70">
        <v>1.7709333959868729</v>
      </c>
      <c r="AM14" s="70"/>
      <c r="AN14" s="4"/>
      <c r="AO14" s="50"/>
      <c r="AP14" s="50"/>
    </row>
    <row r="15" spans="4:42" x14ac:dyDescent="0.25">
      <c r="J15" s="50"/>
      <c r="K15" s="50"/>
      <c r="L15" s="50"/>
      <c r="AD15" s="24" t="s">
        <v>124</v>
      </c>
      <c r="AE15" s="24" t="s">
        <v>168</v>
      </c>
      <c r="AF15" s="72">
        <v>1</v>
      </c>
      <c r="AG15" s="72">
        <v>61</v>
      </c>
      <c r="AH15" s="72">
        <v>69</v>
      </c>
      <c r="AI15" s="24" t="s">
        <v>169</v>
      </c>
      <c r="AJ15" s="38"/>
      <c r="AK15" s="70" t="s">
        <v>181</v>
      </c>
      <c r="AL15" s="70">
        <v>2.4928578236047942E-16</v>
      </c>
      <c r="AM15" s="70"/>
      <c r="AN15" s="4"/>
      <c r="AO15" s="50"/>
      <c r="AP15" s="50"/>
    </row>
    <row r="16" spans="4:42" x14ac:dyDescent="0.25">
      <c r="M16" s="58" t="s">
        <v>138</v>
      </c>
      <c r="N16" s="2" t="s">
        <v>139</v>
      </c>
      <c r="O16" s="58"/>
      <c r="P16" s="58"/>
      <c r="Q16" s="58"/>
      <c r="R16" s="58"/>
      <c r="S16" s="58"/>
      <c r="T16" s="58"/>
      <c r="U16" s="58"/>
      <c r="V16" s="58"/>
      <c r="W16" s="58"/>
      <c r="AD16" s="24" t="s">
        <v>125</v>
      </c>
      <c r="AE16" s="24" t="s">
        <v>170</v>
      </c>
      <c r="AF16" s="72">
        <v>0</v>
      </c>
      <c r="AG16" s="72">
        <v>63</v>
      </c>
      <c r="AH16" s="72">
        <v>71</v>
      </c>
      <c r="AI16" s="24" t="s">
        <v>171</v>
      </c>
      <c r="AJ16" s="38"/>
      <c r="AK16" s="70" t="s">
        <v>182</v>
      </c>
      <c r="AL16" s="70">
        <v>2.1603686564627926</v>
      </c>
      <c r="AM16" s="70"/>
      <c r="AN16" s="4"/>
      <c r="AO16" s="50"/>
      <c r="AP16" s="50"/>
    </row>
    <row r="17" spans="1:42" ht="15" customHeight="1" x14ac:dyDescent="0.25"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Z17" s="2" t="s">
        <v>158</v>
      </c>
      <c r="AD17" s="24" t="s">
        <v>120</v>
      </c>
      <c r="AE17" s="24" t="s">
        <v>168</v>
      </c>
      <c r="AF17" s="72">
        <v>1</v>
      </c>
      <c r="AG17" s="72">
        <v>59</v>
      </c>
      <c r="AH17" s="72">
        <v>67</v>
      </c>
      <c r="AI17" s="24" t="s">
        <v>171</v>
      </c>
      <c r="AJ17" s="38"/>
      <c r="AP17" s="50"/>
    </row>
    <row r="18" spans="1:42" ht="13.5" customHeight="1" x14ac:dyDescent="0.25">
      <c r="A18" s="23" t="s">
        <v>106</v>
      </c>
      <c r="B18" s="23" t="s">
        <v>107</v>
      </c>
      <c r="C18" s="28" t="s">
        <v>130</v>
      </c>
      <c r="F18" s="23" t="s">
        <v>118</v>
      </c>
      <c r="G18" s="23" t="s">
        <v>119</v>
      </c>
      <c r="H18" s="28" t="s">
        <v>134</v>
      </c>
      <c r="J18" s="23" t="s">
        <v>132</v>
      </c>
      <c r="K18" s="23" t="s">
        <v>133</v>
      </c>
      <c r="L18" s="28" t="s">
        <v>131</v>
      </c>
      <c r="M18" s="58"/>
      <c r="N18" s="23" t="s">
        <v>118</v>
      </c>
      <c r="O18" s="23" t="s">
        <v>136</v>
      </c>
      <c r="P18" s="23" t="s">
        <v>140</v>
      </c>
      <c r="Q18" s="28" t="s">
        <v>143</v>
      </c>
      <c r="R18" s="28" t="s">
        <v>144</v>
      </c>
      <c r="S18" s="28" t="s">
        <v>145</v>
      </c>
      <c r="T18" s="28" t="s">
        <v>146</v>
      </c>
      <c r="U18" s="28" t="s">
        <v>139</v>
      </c>
      <c r="V18" s="28" t="s">
        <v>141</v>
      </c>
      <c r="W18" s="28" t="s">
        <v>142</v>
      </c>
      <c r="Y18" s="47"/>
      <c r="Z18" s="23" t="s">
        <v>118</v>
      </c>
      <c r="AA18" s="23" t="s">
        <v>159</v>
      </c>
      <c r="AB18" s="47"/>
      <c r="AC18" s="47"/>
      <c r="AD18" s="24" t="s">
        <v>121</v>
      </c>
      <c r="AE18" s="24" t="s">
        <v>170</v>
      </c>
      <c r="AF18" s="72">
        <v>0</v>
      </c>
      <c r="AG18" s="72">
        <v>65</v>
      </c>
      <c r="AH18" s="72">
        <v>73</v>
      </c>
      <c r="AI18" s="24" t="s">
        <v>171</v>
      </c>
      <c r="AJ18" s="38"/>
      <c r="AP18" s="50"/>
    </row>
    <row r="19" spans="1:42" x14ac:dyDescent="0.25">
      <c r="A19" s="24" t="s">
        <v>108</v>
      </c>
      <c r="B19" s="24">
        <v>1</v>
      </c>
      <c r="C19" s="4">
        <f>1/COUNTA(_xlfn.UNIQUE(B19:B28))</f>
        <v>0.25</v>
      </c>
      <c r="F19" s="24" t="s">
        <v>120</v>
      </c>
      <c r="G19" s="24">
        <v>165.4</v>
      </c>
      <c r="H19" s="4">
        <f>(B2-AVERAGE(G19:G28))/_xlfn.STDEV.S(G19:G28)</f>
        <v>-67.529210370118605</v>
      </c>
      <c r="J19" s="24">
        <v>1</v>
      </c>
      <c r="K19" s="24">
        <v>2</v>
      </c>
      <c r="L19" s="4">
        <f>_xlfn.BINOM.DIST(K19,5,0.5,FALSE)</f>
        <v>0.3125</v>
      </c>
      <c r="M19" s="58"/>
      <c r="N19" s="59" t="s">
        <v>120</v>
      </c>
      <c r="O19" s="59">
        <v>165.4</v>
      </c>
      <c r="P19" s="59">
        <v>52.5</v>
      </c>
      <c r="Q19" s="60">
        <f>AVERAGE(O19:O28)</f>
        <v>169.29</v>
      </c>
      <c r="R19" s="60">
        <f>AVERAGE(P19:P28)</f>
        <v>68.930000000000007</v>
      </c>
      <c r="S19" s="59">
        <f>O19-Q19</f>
        <v>-3.8899999999999864</v>
      </c>
      <c r="T19" s="59">
        <f>P19-R19</f>
        <v>-16.430000000000007</v>
      </c>
      <c r="U19" s="60">
        <f>COVAR(O19:O28,P19:P28)</f>
        <v>6.7032999999999916</v>
      </c>
      <c r="V19" s="60">
        <f>_xlfn.COVARIANCE.P(O19:O28,P19:P28)</f>
        <v>6.7032999999999916</v>
      </c>
      <c r="W19" s="60">
        <f>_xlfn.COVARIANCE.S(O19:O28,P19:P28)</f>
        <v>7.4481111111111016</v>
      </c>
      <c r="Y19" s="38"/>
      <c r="Z19" s="24">
        <v>1</v>
      </c>
      <c r="AA19" s="24">
        <v>78</v>
      </c>
      <c r="AB19" s="38"/>
      <c r="AC19" s="38"/>
      <c r="AD19" s="24" t="s">
        <v>122</v>
      </c>
      <c r="AE19" s="24" t="s">
        <v>168</v>
      </c>
      <c r="AF19" s="72">
        <v>1</v>
      </c>
      <c r="AG19" s="72">
        <v>60</v>
      </c>
      <c r="AH19" s="72">
        <v>69</v>
      </c>
      <c r="AI19" s="24" t="s">
        <v>171</v>
      </c>
      <c r="AJ19" s="38"/>
      <c r="AP19" s="50"/>
    </row>
    <row r="20" spans="1:42" x14ac:dyDescent="0.25">
      <c r="A20" s="24" t="s">
        <v>109</v>
      </c>
      <c r="B20" s="24">
        <v>2</v>
      </c>
      <c r="C20" s="4">
        <f t="shared" ref="C20:C28" si="1">1/COUNTA(_xlfn.UNIQUE(B20:B29))</f>
        <v>0.2</v>
      </c>
      <c r="F20" s="24" t="s">
        <v>121</v>
      </c>
      <c r="G20" s="24">
        <v>170.2</v>
      </c>
      <c r="H20" s="4">
        <f t="shared" ref="H20:H28" si="2">(B3-AVERAGE(G20:G29))/_xlfn.STDEV.S(G20:G29)</f>
        <v>-79.283359001853</v>
      </c>
      <c r="J20" s="24">
        <v>2</v>
      </c>
      <c r="K20" s="24">
        <v>3</v>
      </c>
      <c r="L20" s="4">
        <f t="shared" ref="L20:L28" si="3">_xlfn.BINOM.DIST(K20,5,0.5,FALSE)</f>
        <v>0.3125</v>
      </c>
      <c r="M20" s="58"/>
      <c r="N20" s="59" t="s">
        <v>121</v>
      </c>
      <c r="O20" s="59">
        <v>170.2</v>
      </c>
      <c r="P20" s="59">
        <v>58.3</v>
      </c>
      <c r="Q20" s="59"/>
      <c r="R20" s="59"/>
      <c r="S20" s="59">
        <f>O20-Q19</f>
        <v>0.90999999999999659</v>
      </c>
      <c r="T20" s="59">
        <f>P20-R19</f>
        <v>-10.63000000000001</v>
      </c>
      <c r="U20" s="60"/>
      <c r="V20" s="60"/>
      <c r="W20" s="60"/>
      <c r="Y20" s="38"/>
      <c r="Z20" s="24">
        <v>2</v>
      </c>
      <c r="AA20" s="24">
        <v>82</v>
      </c>
      <c r="AB20" s="38"/>
      <c r="AC20" s="38"/>
      <c r="AD20" s="24" t="s">
        <v>123</v>
      </c>
      <c r="AE20" s="24" t="s">
        <v>170</v>
      </c>
      <c r="AF20" s="72">
        <v>0</v>
      </c>
      <c r="AG20" s="72">
        <v>66</v>
      </c>
      <c r="AH20" s="72">
        <v>75</v>
      </c>
      <c r="AI20" s="24" t="s">
        <v>171</v>
      </c>
      <c r="AJ20" s="38"/>
      <c r="AK20" s="2" t="s">
        <v>186</v>
      </c>
      <c r="AP20" s="50"/>
    </row>
    <row r="21" spans="1:42" x14ac:dyDescent="0.25">
      <c r="A21" s="24" t="s">
        <v>110</v>
      </c>
      <c r="B21" s="24">
        <v>3</v>
      </c>
      <c r="C21" s="4">
        <f t="shared" si="1"/>
        <v>0.2</v>
      </c>
      <c r="F21" s="24" t="s">
        <v>122</v>
      </c>
      <c r="G21" s="24">
        <v>168.8</v>
      </c>
      <c r="H21" s="4">
        <f t="shared" si="2"/>
        <v>-73.483981451652227</v>
      </c>
      <c r="J21" s="24">
        <v>3</v>
      </c>
      <c r="K21" s="24">
        <v>1</v>
      </c>
      <c r="L21" s="4">
        <f t="shared" si="3"/>
        <v>0.15624999999999992</v>
      </c>
      <c r="M21" s="58"/>
      <c r="N21" s="59" t="s">
        <v>122</v>
      </c>
      <c r="O21" s="59">
        <v>168.8</v>
      </c>
      <c r="P21" s="59">
        <v>61.8</v>
      </c>
      <c r="Q21" s="59"/>
      <c r="R21" s="59"/>
      <c r="S21" s="59">
        <f>O21-Q19</f>
        <v>-0.48999999999998067</v>
      </c>
      <c r="T21" s="59">
        <f>O21-R19</f>
        <v>99.87</v>
      </c>
      <c r="U21" s="60"/>
      <c r="V21" s="60"/>
      <c r="W21" s="60"/>
      <c r="Y21" s="38"/>
      <c r="Z21" s="24">
        <v>3</v>
      </c>
      <c r="AA21" s="24">
        <v>85</v>
      </c>
      <c r="AB21" s="38"/>
      <c r="AC21" s="38"/>
      <c r="AD21" s="24" t="s">
        <v>124</v>
      </c>
      <c r="AE21" s="24" t="s">
        <v>168</v>
      </c>
      <c r="AF21" s="72">
        <v>1</v>
      </c>
      <c r="AG21" s="72">
        <v>61</v>
      </c>
      <c r="AH21" s="72">
        <v>68</v>
      </c>
      <c r="AI21" s="24" t="s">
        <v>172</v>
      </c>
      <c r="AJ21" s="38"/>
      <c r="AP21" s="50"/>
    </row>
    <row r="22" spans="1:42" x14ac:dyDescent="0.25">
      <c r="A22" s="24" t="s">
        <v>111</v>
      </c>
      <c r="B22" s="24">
        <v>2</v>
      </c>
      <c r="C22" s="4">
        <f t="shared" si="1"/>
        <v>0.2</v>
      </c>
      <c r="F22" s="24" t="s">
        <v>123</v>
      </c>
      <c r="G22" s="24">
        <v>172.1</v>
      </c>
      <c r="H22" s="4">
        <f t="shared" si="2"/>
        <v>-68.640774277582324</v>
      </c>
      <c r="J22" s="24">
        <v>4</v>
      </c>
      <c r="K22" s="24">
        <v>4</v>
      </c>
      <c r="L22" s="4">
        <f t="shared" si="3"/>
        <v>0.15624999999999992</v>
      </c>
      <c r="M22" s="58"/>
      <c r="N22" s="59" t="s">
        <v>123</v>
      </c>
      <c r="O22" s="59">
        <v>172.1</v>
      </c>
      <c r="P22" s="59">
        <v>65.2</v>
      </c>
      <c r="Q22" s="59"/>
      <c r="R22" s="59"/>
      <c r="S22" s="59">
        <f>O22-Q19</f>
        <v>2.8100000000000023</v>
      </c>
      <c r="T22" s="59">
        <f>P22-R19</f>
        <v>-3.730000000000004</v>
      </c>
      <c r="U22" s="60"/>
      <c r="V22" s="60"/>
      <c r="W22" s="60"/>
      <c r="Y22" s="38"/>
      <c r="Z22" s="24">
        <v>4</v>
      </c>
      <c r="AA22" s="24">
        <v>79</v>
      </c>
      <c r="AB22" s="38"/>
      <c r="AC22" s="38"/>
      <c r="AD22" s="24" t="s">
        <v>125</v>
      </c>
      <c r="AE22" s="24" t="s">
        <v>170</v>
      </c>
      <c r="AF22" s="72">
        <v>0</v>
      </c>
      <c r="AG22" s="72">
        <v>62</v>
      </c>
      <c r="AH22" s="72">
        <v>70</v>
      </c>
      <c r="AI22" s="24" t="s">
        <v>172</v>
      </c>
      <c r="AJ22" s="38"/>
      <c r="AP22" s="50"/>
    </row>
    <row r="23" spans="1:42" x14ac:dyDescent="0.25">
      <c r="A23" s="24" t="s">
        <v>112</v>
      </c>
      <c r="B23" s="24">
        <v>1</v>
      </c>
      <c r="C23" s="4">
        <f t="shared" si="1"/>
        <v>0.2</v>
      </c>
      <c r="F23" s="24" t="s">
        <v>124</v>
      </c>
      <c r="G23" s="24">
        <v>166.9</v>
      </c>
      <c r="H23" s="4">
        <f t="shared" si="2"/>
        <v>-66.891769868254841</v>
      </c>
      <c r="J23" s="24">
        <v>5</v>
      </c>
      <c r="K23" s="24">
        <v>2</v>
      </c>
      <c r="L23" s="4">
        <f t="shared" si="3"/>
        <v>0.3125</v>
      </c>
      <c r="M23" s="58"/>
      <c r="N23" s="59" t="s">
        <v>124</v>
      </c>
      <c r="O23" s="59">
        <v>166.9</v>
      </c>
      <c r="P23" s="59">
        <v>68.7</v>
      </c>
      <c r="Q23" s="59"/>
      <c r="R23" s="59"/>
      <c r="S23" s="59">
        <f>O23-Q19</f>
        <v>-2.3899999999999864</v>
      </c>
      <c r="T23" s="59">
        <f>P23-R19</f>
        <v>-0.23000000000000398</v>
      </c>
      <c r="U23" s="60"/>
      <c r="V23" s="60"/>
      <c r="W23" s="60"/>
      <c r="Y23" s="38"/>
      <c r="Z23" s="24">
        <v>5</v>
      </c>
      <c r="AA23" s="24">
        <v>81</v>
      </c>
      <c r="AB23" s="38"/>
      <c r="AC23" s="38"/>
      <c r="AD23" s="24" t="s">
        <v>122</v>
      </c>
      <c r="AE23" s="24" t="s">
        <v>168</v>
      </c>
      <c r="AF23" s="72">
        <v>1</v>
      </c>
      <c r="AG23" s="72">
        <v>63</v>
      </c>
      <c r="AH23" s="72">
        <v>72</v>
      </c>
      <c r="AI23" s="24" t="s">
        <v>172</v>
      </c>
      <c r="AJ23" s="38"/>
      <c r="AP23" s="50"/>
    </row>
    <row r="24" spans="1:42" x14ac:dyDescent="0.25">
      <c r="A24" s="24" t="s">
        <v>113</v>
      </c>
      <c r="B24" s="24">
        <v>4</v>
      </c>
      <c r="C24" s="4">
        <f t="shared" si="1"/>
        <v>0.2</v>
      </c>
      <c r="F24" s="24" t="s">
        <v>125</v>
      </c>
      <c r="G24" s="24">
        <v>169.5</v>
      </c>
      <c r="H24" s="4">
        <f t="shared" si="2"/>
        <v>-73.284352976038321</v>
      </c>
      <c r="J24" s="24">
        <v>6</v>
      </c>
      <c r="K24" s="24">
        <v>3</v>
      </c>
      <c r="L24" s="4">
        <f>_xlfn.BINOM.DIST(K24,5,0.1,FALSE)</f>
        <v>8.0999999999999961E-3</v>
      </c>
      <c r="M24" s="58"/>
      <c r="N24" s="59" t="s">
        <v>125</v>
      </c>
      <c r="O24" s="59">
        <v>169.5</v>
      </c>
      <c r="P24" s="59">
        <v>70.099999999999994</v>
      </c>
      <c r="Q24" s="59"/>
      <c r="R24" s="59"/>
      <c r="S24" s="59">
        <f>O24-Q19</f>
        <v>0.21000000000000796</v>
      </c>
      <c r="T24" s="59">
        <f>P24-R19</f>
        <v>1.1699999999999875</v>
      </c>
      <c r="U24" s="60"/>
      <c r="V24" s="60"/>
      <c r="W24" s="60"/>
      <c r="Y24" s="38"/>
      <c r="Z24" s="24">
        <v>6</v>
      </c>
      <c r="AA24" s="24">
        <v>76</v>
      </c>
      <c r="AB24" s="38"/>
      <c r="AC24" s="38"/>
      <c r="AD24" s="24" t="s">
        <v>123</v>
      </c>
      <c r="AE24" s="24" t="s">
        <v>170</v>
      </c>
      <c r="AF24" s="72">
        <v>0</v>
      </c>
      <c r="AG24" s="72">
        <v>64</v>
      </c>
      <c r="AH24" s="72">
        <v>73</v>
      </c>
      <c r="AI24" s="24" t="s">
        <v>172</v>
      </c>
      <c r="AJ24" s="38"/>
      <c r="AP24" s="50"/>
    </row>
    <row r="25" spans="1:42" x14ac:dyDescent="0.25">
      <c r="A25" s="24" t="s">
        <v>114</v>
      </c>
      <c r="B25" s="24">
        <v>2</v>
      </c>
      <c r="C25" s="4">
        <f t="shared" si="1"/>
        <v>0.25</v>
      </c>
      <c r="F25" s="24" t="s">
        <v>126</v>
      </c>
      <c r="G25" s="24">
        <v>171.3</v>
      </c>
      <c r="H25" s="4">
        <f>(B8-AVERAGE(G25:G34))/_xlfn.STDEV.S(G25:G34)</f>
        <v>-61.800419045497449</v>
      </c>
      <c r="J25" s="24">
        <v>7</v>
      </c>
      <c r="K25" s="24">
        <v>0</v>
      </c>
      <c r="L25" s="4">
        <f t="shared" si="3"/>
        <v>3.125E-2</v>
      </c>
      <c r="M25" s="58"/>
      <c r="N25" s="59" t="s">
        <v>126</v>
      </c>
      <c r="O25" s="59">
        <v>171.3</v>
      </c>
      <c r="P25" s="59">
        <v>72.400000000000006</v>
      </c>
      <c r="Q25" s="59"/>
      <c r="R25" s="59"/>
      <c r="S25" s="59">
        <f>O25-Q19</f>
        <v>2.0100000000000193</v>
      </c>
      <c r="T25" s="59">
        <f>P25-R19</f>
        <v>3.4699999999999989</v>
      </c>
      <c r="U25" s="60"/>
      <c r="V25" s="60"/>
      <c r="W25" s="60"/>
      <c r="Y25" s="38"/>
      <c r="Z25" s="24">
        <v>7</v>
      </c>
      <c r="AA25" s="24">
        <v>84</v>
      </c>
      <c r="AB25" s="38"/>
      <c r="AC25" s="38"/>
      <c r="AD25" s="24" t="s">
        <v>124</v>
      </c>
      <c r="AE25" s="24" t="s">
        <v>168</v>
      </c>
      <c r="AF25" s="72">
        <v>1</v>
      </c>
      <c r="AG25" s="72">
        <v>65</v>
      </c>
      <c r="AH25" s="72">
        <v>74</v>
      </c>
      <c r="AI25" s="24" t="s">
        <v>172</v>
      </c>
      <c r="AJ25" s="38"/>
      <c r="AP25" s="50"/>
    </row>
    <row r="26" spans="1:42" x14ac:dyDescent="0.25">
      <c r="A26" s="24" t="s">
        <v>115</v>
      </c>
      <c r="B26" s="24">
        <v>3</v>
      </c>
      <c r="C26" s="4">
        <f t="shared" si="1"/>
        <v>0.25</v>
      </c>
      <c r="F26" s="54" t="s">
        <v>127</v>
      </c>
      <c r="G26" s="54">
        <v>167.6</v>
      </c>
      <c r="H26" s="49">
        <f>(B9-AVERAGE(G26:G35))/_xlfn.STDEV.S(G26:G35)</f>
        <v>-44.600105494840342</v>
      </c>
      <c r="J26" s="24">
        <v>8</v>
      </c>
      <c r="K26" s="24">
        <v>1</v>
      </c>
      <c r="L26" s="4">
        <f t="shared" si="3"/>
        <v>0.15624999999999992</v>
      </c>
      <c r="M26" s="58"/>
      <c r="N26" s="59" t="s">
        <v>127</v>
      </c>
      <c r="O26" s="59">
        <v>167.6</v>
      </c>
      <c r="P26" s="59">
        <v>75.599999999999994</v>
      </c>
      <c r="Q26" s="59"/>
      <c r="R26" s="59"/>
      <c r="S26" s="59">
        <f>O26-Q19</f>
        <v>-1.6899999999999977</v>
      </c>
      <c r="T26" s="59">
        <f>P26-R19</f>
        <v>6.6699999999999875</v>
      </c>
      <c r="U26" s="60"/>
      <c r="V26" s="60"/>
      <c r="W26" s="60"/>
      <c r="Y26" s="38"/>
      <c r="Z26" s="24">
        <v>8</v>
      </c>
      <c r="AA26" s="24">
        <v>80</v>
      </c>
      <c r="AB26" s="38"/>
      <c r="AC26" s="38"/>
      <c r="AD26" s="38"/>
      <c r="AE26" s="38"/>
      <c r="AF26" s="67"/>
    </row>
    <row r="27" spans="1:42" ht="15.75" x14ac:dyDescent="0.25">
      <c r="A27" s="24" t="s">
        <v>116</v>
      </c>
      <c r="B27" s="24">
        <v>1</v>
      </c>
      <c r="C27" s="4">
        <f t="shared" si="1"/>
        <v>0.33333333333333331</v>
      </c>
      <c r="F27" s="24" t="s">
        <v>128</v>
      </c>
      <c r="G27" s="24">
        <v>173</v>
      </c>
      <c r="H27" s="4" t="e">
        <f>(B10-AVERAGE(G27:G36))/_xlfn.STDEV.S(G27:G36)</f>
        <v>#DIV/0!</v>
      </c>
      <c r="J27" s="24">
        <v>9</v>
      </c>
      <c r="K27" s="24">
        <v>2</v>
      </c>
      <c r="L27" s="4">
        <f t="shared" si="3"/>
        <v>0.3125</v>
      </c>
      <c r="M27" s="58"/>
      <c r="N27" s="59" t="s">
        <v>128</v>
      </c>
      <c r="O27" s="59">
        <v>173</v>
      </c>
      <c r="P27" s="59">
        <v>80.2</v>
      </c>
      <c r="Q27" s="59"/>
      <c r="R27" s="59"/>
      <c r="S27" s="59">
        <f>O27-Q19</f>
        <v>3.710000000000008</v>
      </c>
      <c r="T27" s="59">
        <f>P27-R19</f>
        <v>11.269999999999996</v>
      </c>
      <c r="U27" s="60"/>
      <c r="V27" s="60"/>
      <c r="W27" s="60"/>
      <c r="Y27" s="38"/>
      <c r="Z27" s="24">
        <v>9</v>
      </c>
      <c r="AA27" s="24">
        <v>77</v>
      </c>
      <c r="AB27" s="38"/>
      <c r="AC27" s="38"/>
      <c r="AD27" s="2" t="s">
        <v>187</v>
      </c>
      <c r="AH27" s="57" t="s">
        <v>190</v>
      </c>
      <c r="AI27" s="4"/>
      <c r="AJ27" s="4"/>
      <c r="AK27" s="4"/>
      <c r="AL27" s="4"/>
      <c r="AM27" s="4"/>
      <c r="AN27" s="4"/>
    </row>
    <row r="28" spans="1:42" x14ac:dyDescent="0.25">
      <c r="A28" s="24" t="s">
        <v>117</v>
      </c>
      <c r="B28" s="24">
        <v>2</v>
      </c>
      <c r="C28" s="4">
        <f t="shared" si="1"/>
        <v>0.5</v>
      </c>
      <c r="F28" s="52"/>
      <c r="G28" s="52"/>
      <c r="H28" s="50"/>
      <c r="J28" s="24">
        <v>10</v>
      </c>
      <c r="K28" s="24">
        <v>5</v>
      </c>
      <c r="L28" s="4">
        <f t="shared" si="3"/>
        <v>3.125E-2</v>
      </c>
      <c r="M28" s="58"/>
      <c r="N28" s="59" t="s">
        <v>129</v>
      </c>
      <c r="O28" s="59">
        <v>168.1</v>
      </c>
      <c r="P28" s="59">
        <v>84.5</v>
      </c>
      <c r="Q28" s="59"/>
      <c r="R28" s="59"/>
      <c r="S28" s="59">
        <f>O28-Q19</f>
        <v>-1.1899999999999977</v>
      </c>
      <c r="T28" s="59">
        <f>P28-R19</f>
        <v>15.569999999999993</v>
      </c>
      <c r="U28" s="60"/>
      <c r="V28" s="60"/>
      <c r="W28" s="60"/>
      <c r="Y28" s="38"/>
      <c r="Z28" s="24">
        <v>10</v>
      </c>
      <c r="AA28" s="24">
        <v>83</v>
      </c>
      <c r="AB28" s="38"/>
      <c r="AC28" s="38"/>
      <c r="AD28" s="23" t="s">
        <v>189</v>
      </c>
      <c r="AE28" s="23" t="s">
        <v>188</v>
      </c>
      <c r="AH28" s="4"/>
      <c r="AI28" s="4"/>
      <c r="AJ28" s="4"/>
      <c r="AK28" s="4"/>
      <c r="AL28" s="4"/>
      <c r="AM28" s="4"/>
      <c r="AN28" s="4"/>
    </row>
    <row r="29" spans="1:42" x14ac:dyDescent="0.25">
      <c r="M29" s="58"/>
      <c r="N29" s="2" t="s">
        <v>157</v>
      </c>
      <c r="O29" s="2"/>
      <c r="P29" s="2"/>
      <c r="Q29" s="2"/>
      <c r="R29" s="2"/>
      <c r="S29" s="2"/>
      <c r="T29" s="2"/>
      <c r="U29" s="58"/>
      <c r="V29" s="58"/>
      <c r="W29" s="58"/>
      <c r="AD29" s="24">
        <v>22</v>
      </c>
      <c r="AE29" s="24">
        <v>25</v>
      </c>
      <c r="AH29" s="4" t="s">
        <v>191</v>
      </c>
      <c r="AI29" s="4"/>
      <c r="AJ29" s="4"/>
      <c r="AK29" s="4"/>
      <c r="AL29" s="4"/>
      <c r="AM29" s="4"/>
      <c r="AN29" s="4"/>
    </row>
    <row r="30" spans="1:42" x14ac:dyDescent="0.25">
      <c r="M30" s="58"/>
      <c r="N30" s="28" t="s">
        <v>147</v>
      </c>
      <c r="O30" s="28" t="s">
        <v>148</v>
      </c>
      <c r="P30" s="28" t="s">
        <v>149</v>
      </c>
      <c r="Q30" s="28" t="s">
        <v>142</v>
      </c>
      <c r="R30" s="28" t="s">
        <v>141</v>
      </c>
      <c r="S30" s="58"/>
      <c r="T30" s="58"/>
      <c r="U30" s="58"/>
      <c r="V30" s="58"/>
      <c r="W30" s="58"/>
      <c r="AD30" s="24">
        <v>64</v>
      </c>
      <c r="AE30" s="24">
        <v>64</v>
      </c>
      <c r="AH30" s="69" t="s">
        <v>192</v>
      </c>
      <c r="AI30" s="69" t="s">
        <v>193</v>
      </c>
      <c r="AJ30" s="69" t="s">
        <v>194</v>
      </c>
      <c r="AK30" s="69" t="s">
        <v>195</v>
      </c>
      <c r="AL30" s="69" t="s">
        <v>174</v>
      </c>
      <c r="AM30" s="4"/>
      <c r="AN30" s="4"/>
    </row>
    <row r="31" spans="1:42" x14ac:dyDescent="0.25">
      <c r="M31" s="58"/>
      <c r="N31" s="60">
        <v>1</v>
      </c>
      <c r="O31" s="60">
        <v>3</v>
      </c>
      <c r="P31" s="60">
        <v>5</v>
      </c>
      <c r="Q31" s="60">
        <f>_xlfn.COVARIANCE.S(O31:O35,P31:P35)</f>
        <v>7.4499999999999993</v>
      </c>
      <c r="R31" s="60">
        <f>_xlfn.COVARIANCE.P(O31:O35,P31:P35)</f>
        <v>5.9599999999999991</v>
      </c>
      <c r="S31" s="2"/>
      <c r="T31" s="2"/>
      <c r="U31" s="58"/>
      <c r="V31" s="58"/>
      <c r="W31" s="58"/>
      <c r="AD31" s="24">
        <v>45</v>
      </c>
      <c r="AE31" s="24">
        <v>42</v>
      </c>
      <c r="AH31" s="70" t="s">
        <v>183</v>
      </c>
      <c r="AI31" s="70">
        <v>15</v>
      </c>
      <c r="AJ31" s="70">
        <v>8</v>
      </c>
      <c r="AK31" s="70">
        <v>0.53333333333333333</v>
      </c>
      <c r="AL31" s="70">
        <v>0.26666666666666666</v>
      </c>
      <c r="AM31" s="4"/>
      <c r="AN31" s="4"/>
    </row>
    <row r="32" spans="1:42" x14ac:dyDescent="0.25">
      <c r="M32" s="58"/>
      <c r="N32" s="60">
        <v>2</v>
      </c>
      <c r="O32" s="60">
        <v>2</v>
      </c>
      <c r="P32" s="60">
        <v>4.5</v>
      </c>
      <c r="Q32" s="60"/>
      <c r="R32" s="60"/>
      <c r="S32" s="58" t="s">
        <v>150</v>
      </c>
      <c r="T32" s="58"/>
      <c r="U32" s="58"/>
      <c r="V32" s="58"/>
      <c r="W32" s="58"/>
      <c r="AD32" s="24">
        <v>55</v>
      </c>
      <c r="AE32" s="24">
        <v>44</v>
      </c>
      <c r="AH32" s="70" t="s">
        <v>165</v>
      </c>
      <c r="AI32" s="70">
        <v>15</v>
      </c>
      <c r="AJ32" s="70">
        <v>933</v>
      </c>
      <c r="AK32" s="70">
        <v>62.2</v>
      </c>
      <c r="AL32" s="70">
        <v>5.6000000000000014</v>
      </c>
      <c r="AM32" s="4"/>
      <c r="AN32" s="4"/>
    </row>
    <row r="33" spans="13:40" x14ac:dyDescent="0.25">
      <c r="M33" s="58"/>
      <c r="N33" s="60">
        <v>3</v>
      </c>
      <c r="O33" s="28">
        <v>6</v>
      </c>
      <c r="P33" s="28">
        <v>9</v>
      </c>
      <c r="Q33" s="28"/>
      <c r="R33" s="28"/>
      <c r="S33" s="2"/>
      <c r="T33" s="2"/>
      <c r="U33" s="2"/>
      <c r="V33" s="58"/>
      <c r="W33" s="58"/>
      <c r="Y33" s="47"/>
      <c r="Z33" s="47"/>
      <c r="AD33" s="24">
        <v>21</v>
      </c>
      <c r="AE33" s="24">
        <v>87</v>
      </c>
      <c r="AH33" s="70" t="s">
        <v>166</v>
      </c>
      <c r="AI33" s="70">
        <v>15</v>
      </c>
      <c r="AJ33" s="70">
        <v>1057</v>
      </c>
      <c r="AK33" s="70">
        <v>70.466666666666669</v>
      </c>
      <c r="AL33" s="70">
        <v>7.1238095238095251</v>
      </c>
      <c r="AM33" s="4"/>
      <c r="AN33" s="4"/>
    </row>
    <row r="34" spans="13:40" x14ac:dyDescent="0.25">
      <c r="M34" s="58"/>
      <c r="N34" s="60">
        <v>4</v>
      </c>
      <c r="O34" s="60">
        <v>1</v>
      </c>
      <c r="P34" s="60">
        <v>1</v>
      </c>
      <c r="Q34" s="60"/>
      <c r="R34" s="60"/>
      <c r="S34" s="58"/>
      <c r="T34" s="58"/>
      <c r="U34" s="58"/>
      <c r="V34" s="58"/>
      <c r="W34" s="58"/>
      <c r="Y34" s="38"/>
      <c r="Z34" s="38"/>
      <c r="AD34" s="24">
        <v>48</v>
      </c>
      <c r="AE34" s="24">
        <v>98</v>
      </c>
      <c r="AH34" s="4"/>
      <c r="AI34" s="4"/>
      <c r="AJ34" s="4"/>
      <c r="AK34" s="4"/>
      <c r="AL34" s="4"/>
      <c r="AM34" s="4"/>
      <c r="AN34" s="4"/>
    </row>
    <row r="35" spans="13:40" x14ac:dyDescent="0.25">
      <c r="M35" s="58"/>
      <c r="N35" s="60">
        <v>5</v>
      </c>
      <c r="O35" s="60">
        <v>0</v>
      </c>
      <c r="P35" s="60">
        <v>1</v>
      </c>
      <c r="Q35" s="60"/>
      <c r="R35" s="60"/>
      <c r="S35" s="58"/>
      <c r="T35" s="58"/>
      <c r="U35" s="58"/>
      <c r="V35" s="58"/>
      <c r="W35" s="58"/>
      <c r="Y35" s="38"/>
      <c r="Z35" s="38"/>
      <c r="AD35" s="24">
        <v>94</v>
      </c>
      <c r="AE35" s="24">
        <v>47</v>
      </c>
      <c r="AH35" s="4"/>
      <c r="AI35" s="4"/>
      <c r="AJ35" s="4"/>
      <c r="AK35" s="4"/>
      <c r="AL35" s="4"/>
      <c r="AM35" s="4"/>
      <c r="AN35" s="4"/>
    </row>
    <row r="36" spans="13:40" x14ac:dyDescent="0.25">
      <c r="Y36" s="38"/>
      <c r="Z36" s="38"/>
      <c r="AD36" s="38">
        <f>AVERAGE(AD29:AD35)</f>
        <v>49.857142857142854</v>
      </c>
      <c r="AE36" s="38">
        <f>AVERAGE(AE29:AE35)</f>
        <v>58.142857142857146</v>
      </c>
      <c r="AH36" s="4" t="s">
        <v>196</v>
      </c>
      <c r="AI36" s="4"/>
      <c r="AJ36" s="4"/>
      <c r="AK36" s="4"/>
      <c r="AL36" s="4"/>
      <c r="AM36" s="4"/>
      <c r="AN36" s="4"/>
    </row>
    <row r="37" spans="13:40" x14ac:dyDescent="0.25">
      <c r="Y37" s="38"/>
      <c r="Z37" s="38"/>
      <c r="AD37" s="38">
        <f>_xlfn.STDEV.S(AD29:AD35)</f>
        <v>25.202040733695693</v>
      </c>
      <c r="AE37" s="38">
        <f>_xlfn.STDEV.S(AE29:AE35)</f>
        <v>26.26422517055326</v>
      </c>
      <c r="AH37" s="74" t="s">
        <v>197</v>
      </c>
      <c r="AI37" s="69" t="s">
        <v>198</v>
      </c>
      <c r="AJ37" s="69" t="s">
        <v>177</v>
      </c>
      <c r="AK37" s="69" t="s">
        <v>199</v>
      </c>
      <c r="AL37" s="69" t="s">
        <v>170</v>
      </c>
      <c r="AM37" s="69" t="s">
        <v>200</v>
      </c>
      <c r="AN37" s="69" t="s">
        <v>201</v>
      </c>
    </row>
    <row r="38" spans="13:40" x14ac:dyDescent="0.25">
      <c r="Y38" s="38"/>
      <c r="Z38" s="38"/>
      <c r="AD38" s="38"/>
      <c r="AE38" s="38"/>
      <c r="AH38" s="70" t="s">
        <v>202</v>
      </c>
      <c r="AI38" s="70">
        <v>43808.933333333342</v>
      </c>
      <c r="AJ38" s="70">
        <v>2</v>
      </c>
      <c r="AK38" s="70">
        <v>21904.466666666671</v>
      </c>
      <c r="AL38" s="70">
        <v>5058.5828445747802</v>
      </c>
      <c r="AM38" s="70">
        <v>8.7946019199297704E-51</v>
      </c>
      <c r="AN38" s="70">
        <v>3.2199422931761248</v>
      </c>
    </row>
    <row r="39" spans="13:40" x14ac:dyDescent="0.25">
      <c r="Y39" s="38"/>
      <c r="Z39" s="38"/>
      <c r="AH39" s="70" t="s">
        <v>203</v>
      </c>
      <c r="AI39" s="70">
        <v>181.8666666666667</v>
      </c>
      <c r="AJ39" s="70">
        <v>42</v>
      </c>
      <c r="AK39" s="70">
        <v>4.3301587301587308</v>
      </c>
      <c r="AL39" s="70"/>
      <c r="AM39" s="70"/>
      <c r="AN39" s="70"/>
    </row>
    <row r="40" spans="13:40" x14ac:dyDescent="0.25">
      <c r="Y40" s="38"/>
      <c r="Z40" s="38"/>
      <c r="AH40" s="70"/>
      <c r="AI40" s="70"/>
      <c r="AJ40" s="70"/>
      <c r="AK40" s="70"/>
      <c r="AL40" s="70"/>
      <c r="AM40" s="70"/>
      <c r="AN40" s="70"/>
    </row>
    <row r="41" spans="13:40" x14ac:dyDescent="0.25">
      <c r="Y41" s="38"/>
      <c r="Z41" s="38"/>
      <c r="AH41" s="70" t="s">
        <v>204</v>
      </c>
      <c r="AI41" s="70">
        <v>43990.80000000001</v>
      </c>
      <c r="AJ41" s="70">
        <v>44</v>
      </c>
      <c r="AK41" s="70"/>
      <c r="AL41" s="70"/>
      <c r="AM41" s="70"/>
      <c r="AN41" s="70"/>
    </row>
    <row r="42" spans="13:40" x14ac:dyDescent="0.25">
      <c r="Y42" s="38"/>
      <c r="Z42" s="38"/>
    </row>
    <row r="43" spans="13:40" x14ac:dyDescent="0.25">
      <c r="N43" s="2"/>
      <c r="O43" s="2"/>
      <c r="P43" s="2"/>
      <c r="Q43" s="2"/>
      <c r="R43" s="2"/>
      <c r="S43" s="2"/>
      <c r="T43" s="2"/>
      <c r="U43" s="2"/>
      <c r="Y43" s="38"/>
      <c r="Z43" s="3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DICE</vt:lpstr>
      <vt:lpstr>RULE 1</vt:lpstr>
      <vt:lpstr>RULE 2</vt:lpstr>
      <vt:lpstr>INDEPENDENT EVENTS</vt:lpstr>
      <vt:lpstr>CUMMULATIVE</vt:lpstr>
      <vt:lpstr>UNIFORM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24695A3217@mits.com</dc:creator>
  <cp:lastModifiedBy>24695A3217@mits.com</cp:lastModifiedBy>
  <dcterms:created xsi:type="dcterms:W3CDTF">2026-06-24T04:37:11Z</dcterms:created>
  <dcterms:modified xsi:type="dcterms:W3CDTF">2026-06-30T11:23:16Z</dcterms:modified>
</cp:coreProperties>
</file>