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TICS\"/>
    </mc:Choice>
  </mc:AlternateContent>
  <xr:revisionPtr revIDLastSave="0" documentId="13_ncr:1_{E8E3D836-8A77-48C2-A72E-585BDE19BF4E}" xr6:coauthVersionLast="47" xr6:coauthVersionMax="47" xr10:uidLastSave="{00000000-0000-0000-0000-000000000000}"/>
  <bookViews>
    <workbookView xWindow="-120" yWindow="-120" windowWidth="29040" windowHeight="15720" xr2:uid="{33589428-D0FE-48A7-A0BC-6B546A7E7DD0}"/>
  </bookViews>
  <sheets>
    <sheet name="Excel Function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2" i="1" l="1"/>
  <c r="AU12" i="1"/>
  <c r="BC17" i="1"/>
  <c r="BC18" i="1"/>
  <c r="BC19" i="1"/>
  <c r="AQ15" i="1"/>
  <c r="AQ16" i="1"/>
  <c r="AQ17" i="1"/>
  <c r="AQ18" i="1"/>
  <c r="AQ19" i="1"/>
  <c r="AQ20" i="1"/>
  <c r="AQ21" i="1"/>
  <c r="AQ22" i="1"/>
  <c r="AQ23" i="1"/>
  <c r="AQ24" i="1"/>
  <c r="BD33" i="1"/>
  <c r="BI33" i="1"/>
  <c r="BC24" i="1"/>
  <c r="BF33" i="1"/>
  <c r="BH33" i="1"/>
  <c r="BG33" i="1"/>
  <c r="BB30" i="1"/>
  <c r="BE30" i="1"/>
  <c r="AN29" i="1"/>
  <c r="BB33" i="1"/>
  <c r="BE33" i="1"/>
  <c r="BC33" i="1"/>
  <c r="BF30" i="1"/>
  <c r="BD30" i="1"/>
  <c r="BD23" i="1" a="1"/>
  <c r="BD23" i="1" s="1"/>
  <c r="BD20" i="1" a="1"/>
  <c r="BD20" i="1" s="1"/>
  <c r="BD18" i="1" a="1"/>
  <c r="BD18" i="1" s="1"/>
  <c r="BD19" i="1" a="1"/>
  <c r="BD19" i="1" s="1"/>
  <c r="BD21" i="1" a="1"/>
  <c r="BD21" i="1" s="1"/>
  <c r="BD22" i="1" a="1"/>
  <c r="BD22" i="1" s="1"/>
  <c r="BD24" i="1" a="1"/>
  <c r="BD24" i="1" s="1"/>
  <c r="BD17" i="1" a="1"/>
  <c r="BD17" i="1" s="1"/>
  <c r="BI20" i="1"/>
  <c r="BI19" i="1" a="1"/>
  <c r="BI19" i="1" s="1"/>
  <c r="BI18" i="1"/>
  <c r="BI17" i="1"/>
  <c r="BH19" i="1" a="1"/>
  <c r="BH19" i="1" s="1"/>
  <c r="BH20" i="1" a="1"/>
  <c r="BH20" i="1" s="1"/>
  <c r="BH21" i="1" a="1"/>
  <c r="BH21" i="1" s="1"/>
  <c r="BH22" i="1" a="1"/>
  <c r="BH22" i="1" s="1"/>
  <c r="BH23" i="1" a="1"/>
  <c r="BH23" i="1" s="1"/>
  <c r="BH24" i="1" a="1"/>
  <c r="BH24" i="1" s="1"/>
  <c r="BH18" i="1" a="1"/>
  <c r="BH18" i="1" s="1"/>
  <c r="BH17" i="1" a="1"/>
  <c r="BH17" i="1" s="1"/>
  <c r="BG19" i="1"/>
  <c r="BG18" i="1"/>
  <c r="BG20" i="1"/>
  <c r="BG21" i="1"/>
  <c r="BG22" i="1"/>
  <c r="BG23" i="1"/>
  <c r="BG24" i="1"/>
  <c r="BG17" i="1"/>
  <c r="BF18" i="1" a="1"/>
  <c r="BF18" i="1" s="1"/>
  <c r="BF17" i="1" a="1"/>
  <c r="BF17" i="1" s="1"/>
  <c r="BF19" i="1" a="1"/>
  <c r="BF19" i="1" s="1"/>
  <c r="BF20" i="1" a="1"/>
  <c r="BF20" i="1" s="1"/>
  <c r="BF21" i="1" a="1"/>
  <c r="BF21" i="1" s="1"/>
  <c r="BF22" i="1" a="1"/>
  <c r="BF22" i="1" s="1"/>
  <c r="BF23" i="1" a="1"/>
  <c r="BF23" i="1" s="1"/>
  <c r="BF24" i="1" a="1"/>
  <c r="BF24" i="1" s="1"/>
  <c r="BE17" i="1"/>
  <c r="BE21" i="1" a="1"/>
  <c r="BE21" i="1" s="1"/>
  <c r="BE22" i="1" a="1"/>
  <c r="BE22" i="1" s="1"/>
  <c r="BE23" i="1" a="1"/>
  <c r="BE23" i="1" s="1"/>
  <c r="BE24" i="1" a="1"/>
  <c r="BE24" i="1" s="1"/>
  <c r="BE20" i="1" a="1"/>
  <c r="BE20" i="1" s="1"/>
  <c r="BE19" i="1"/>
  <c r="BE18" i="1"/>
  <c r="BC20" i="1"/>
  <c r="BC21" i="1"/>
  <c r="BC22" i="1"/>
  <c r="BC23" i="1"/>
  <c r="AN45" i="1"/>
  <c r="AP28" i="1"/>
  <c r="AN47" i="1"/>
  <c r="AN46" i="1"/>
  <c r="AP29" i="1"/>
  <c r="AN44" i="1"/>
  <c r="AO29" i="1"/>
  <c r="AO28" i="1"/>
  <c r="AR28" i="1"/>
  <c r="AS28" i="1"/>
  <c r="AN49" i="1"/>
  <c r="AN28" i="1"/>
  <c r="AJ22" i="1"/>
  <c r="AJ21" i="1"/>
  <c r="AJ20" i="1"/>
  <c r="AF26" i="1"/>
  <c r="AG27" i="1"/>
  <c r="AF25" i="1"/>
  <c r="AF24" i="1"/>
  <c r="AF16" i="1"/>
  <c r="AF15" i="1"/>
  <c r="AE15" i="1"/>
  <c r="AC15" i="1"/>
  <c r="AD15" i="1"/>
  <c r="BC30" i="1" l="1"/>
  <c r="BB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<sst xmlns="http://schemas.openxmlformats.org/spreadsheetml/2006/main" count="495" uniqueCount="216">
  <si>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</si>
  <si>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</si>
  <si>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</si>
  <si>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</si>
  <si>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</si>
  <si>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</si>
  <si>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</si>
  <si>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</si>
  <si>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</si>
  <si>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</si>
  <si>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</si>
  <si>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</si>
  <si>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</si>
  <si>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</si>
  <si>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ROUND</t>
  </si>
  <si>
    <t>SQRT</t>
  </si>
  <si>
    <t>MIN</t>
  </si>
  <si>
    <t>MAX</t>
  </si>
  <si>
    <t>MEDIAN</t>
  </si>
  <si>
    <t>AVG</t>
  </si>
  <si>
    <t>SUM</t>
  </si>
  <si>
    <t>RANK</t>
  </si>
  <si>
    <t>LEFT</t>
  </si>
  <si>
    <t>RIGHT</t>
  </si>
  <si>
    <t>LENGTH</t>
  </si>
  <si>
    <t>TODAY</t>
  </si>
  <si>
    <t>EOMONTH</t>
  </si>
  <si>
    <t>WEEKDAYS</t>
  </si>
  <si>
    <t>YEAR</t>
  </si>
  <si>
    <t>DAY</t>
  </si>
  <si>
    <t>NETWORKDAYS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</si>
  <si>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</si>
  <si>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</si>
  <si>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</si>
  <si>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</si>
  <si>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</si>
  <si>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</si>
  <si>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</si>
  <si>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</si>
  <si>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Hargrave</t>
  </si>
  <si>
    <t>France</t>
  </si>
  <si>
    <t>Female</t>
  </si>
  <si>
    <t>Fe</t>
  </si>
  <si>
    <t>nce</t>
  </si>
  <si>
    <t>FIND</t>
  </si>
  <si>
    <t>REPLACE</t>
  </si>
  <si>
    <t>SUBSTITUTE</t>
  </si>
  <si>
    <t>MID</t>
  </si>
  <si>
    <t>SEARCH</t>
  </si>
  <si>
    <t>CONCATE</t>
  </si>
  <si>
    <t>Hill</t>
  </si>
  <si>
    <t>Spain</t>
  </si>
  <si>
    <t>ain</t>
  </si>
  <si>
    <t>A</t>
  </si>
  <si>
    <t>APPLE</t>
  </si>
  <si>
    <t>TOYLE</t>
  </si>
  <si>
    <t>ANIMAL</t>
  </si>
  <si>
    <t>PPL</t>
  </si>
  <si>
    <t>AP</t>
  </si>
  <si>
    <t>Onio</t>
  </si>
  <si>
    <t>P</t>
  </si>
  <si>
    <t>TAJMAHAL</t>
  </si>
  <si>
    <t>APPL</t>
  </si>
  <si>
    <t>SALEEMALI</t>
  </si>
  <si>
    <t>Boni</t>
  </si>
  <si>
    <t>L</t>
  </si>
  <si>
    <t>Mitchell</t>
  </si>
  <si>
    <t>E</t>
  </si>
  <si>
    <t>Chu</t>
  </si>
  <si>
    <t>Male</t>
  </si>
  <si>
    <t>Ma</t>
  </si>
  <si>
    <t>Bartlett</t>
  </si>
  <si>
    <t>Obinna</t>
  </si>
  <si>
    <t>Germany</t>
  </si>
  <si>
    <t>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</si>
  <si>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</si>
  <si>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</si>
  <si>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</si>
  <si>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</si>
  <si>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</si>
  <si>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</si>
  <si>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</si>
  <si>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</si>
  <si>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</si>
  <si>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</si>
  <si>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</si>
  <si>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</si>
  <si>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</si>
  <si>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</si>
  <si>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</si>
  <si>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</si>
  <si>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</si>
  <si>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</si>
  <si>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</si>
  <si>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</si>
  <si>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</si>
  <si>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</si>
  <si>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</si>
  <si>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</si>
  <si>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</si>
  <si>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</si>
  <si>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</si>
  <si>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</si>
  <si>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</si>
  <si>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</si>
  <si>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</si>
  <si>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</si>
  <si>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Day</t>
  </si>
  <si>
    <t>PRODUCT</t>
  </si>
  <si>
    <t>FACT</t>
  </si>
  <si>
    <t>MOD</t>
  </si>
  <si>
    <t>DATE</t>
  </si>
  <si>
    <t>VALUE</t>
  </si>
  <si>
    <t>REGION</t>
  </si>
  <si>
    <t>MOBILE</t>
  </si>
  <si>
    <t>KEYBOARD</t>
  </si>
  <si>
    <t>SILVER</t>
  </si>
  <si>
    <t>BLACK</t>
  </si>
  <si>
    <t>RED</t>
  </si>
  <si>
    <t>LAPTOP</t>
  </si>
  <si>
    <t>MOUSE</t>
  </si>
  <si>
    <t>MH</t>
  </si>
  <si>
    <t>PY</t>
  </si>
  <si>
    <t>TOTAL</t>
  </si>
  <si>
    <t>RED+AP</t>
  </si>
  <si>
    <t>COLOUR</t>
  </si>
  <si>
    <t>RED+AP+LAPTOP</t>
  </si>
  <si>
    <t xml:space="preserve">         MATHEMATICAL FUNCTIONS</t>
  </si>
  <si>
    <t xml:space="preserve">        ADVANCED FUNCTIONS</t>
  </si>
  <si>
    <t xml:space="preserve">     TEXT FUNCTIONS</t>
  </si>
  <si>
    <t>LOOKUP FUNCTIONS</t>
  </si>
  <si>
    <t>Employee_ID</t>
  </si>
  <si>
    <t>Name</t>
  </si>
  <si>
    <t>Department</t>
  </si>
  <si>
    <t>Job_Role</t>
  </si>
  <si>
    <t>Salary</t>
  </si>
  <si>
    <t>Experience_Years</t>
  </si>
  <si>
    <t>Performance_Rating</t>
  </si>
  <si>
    <t>Location</t>
  </si>
  <si>
    <t>EMP001</t>
  </si>
  <si>
    <t>Rahul Sharma</t>
  </si>
  <si>
    <t>IT</t>
  </si>
  <si>
    <t>Data Analyst</t>
  </si>
  <si>
    <t>Hyderabad</t>
  </si>
  <si>
    <t>EMP002</t>
  </si>
  <si>
    <t>Priya Reddy</t>
  </si>
  <si>
    <t>HR</t>
  </si>
  <si>
    <t>HR Manager</t>
  </si>
  <si>
    <t>Bangalore</t>
  </si>
  <si>
    <t>EMP003</t>
  </si>
  <si>
    <t>Arjun Kumar</t>
  </si>
  <si>
    <t>Sales</t>
  </si>
  <si>
    <t>Sales Executive</t>
  </si>
  <si>
    <t>Chennai</t>
  </si>
  <si>
    <t>EMP004</t>
  </si>
  <si>
    <t>Sneha Patel</t>
  </si>
  <si>
    <t>Finance</t>
  </si>
  <si>
    <t>Financial Analyst</t>
  </si>
  <si>
    <t>Mumbai</t>
  </si>
  <si>
    <t>EMP005</t>
  </si>
  <si>
    <t>Vikram Singh</t>
  </si>
  <si>
    <t>Software Engineer</t>
  </si>
  <si>
    <t>Pune</t>
  </si>
  <si>
    <t>EMP006</t>
  </si>
  <si>
    <t>Ananya Rao</t>
  </si>
  <si>
    <t>Marketing</t>
  </si>
  <si>
    <t>Marketing Specialist</t>
  </si>
  <si>
    <t>EMP007</t>
  </si>
  <si>
    <t>Kiran Verma</t>
  </si>
  <si>
    <t>Operations</t>
  </si>
  <si>
    <t>Operations Manager</t>
  </si>
  <si>
    <t>Delhi</t>
  </si>
  <si>
    <t>EMP008</t>
  </si>
  <si>
    <t>Neha Gupta</t>
  </si>
  <si>
    <t>Data Engineer</t>
  </si>
  <si>
    <t>EMP009</t>
  </si>
  <si>
    <t>Rohit Mehta</t>
  </si>
  <si>
    <t>Sales Manager</t>
  </si>
  <si>
    <t>EMP010</t>
  </si>
  <si>
    <t>Pooja Nair</t>
  </si>
  <si>
    <t>Customer Support</t>
  </si>
  <si>
    <t>Support Executive</t>
  </si>
  <si>
    <t>Kochi</t>
  </si>
  <si>
    <t>VLOOKUP</t>
  </si>
  <si>
    <t>HLOOKUP</t>
  </si>
  <si>
    <t>MATCH</t>
  </si>
  <si>
    <t>INDEX</t>
  </si>
  <si>
    <t>XLOOKUP</t>
  </si>
  <si>
    <t>INDEX2</t>
  </si>
  <si>
    <t>LOGICAL AND ERROR FUNCTIONS</t>
  </si>
  <si>
    <t>AGE_STATUS</t>
  </si>
  <si>
    <t>AGE_BINS</t>
  </si>
  <si>
    <t>AND</t>
  </si>
  <si>
    <t>OR</t>
  </si>
  <si>
    <t>NOT</t>
  </si>
  <si>
    <t>ERROR</t>
  </si>
  <si>
    <t>COUNT</t>
  </si>
  <si>
    <t>COUNTBLANK</t>
  </si>
  <si>
    <t>COUNTA</t>
  </si>
  <si>
    <t>COUNTIF</t>
  </si>
  <si>
    <t>COUNTIFS</t>
  </si>
  <si>
    <t>MEAN</t>
  </si>
  <si>
    <t>MODE</t>
  </si>
  <si>
    <t>VARAIANCE</t>
  </si>
  <si>
    <t>STD_DEV</t>
  </si>
  <si>
    <t>STATISTICALFUNCTIONS</t>
  </si>
  <si>
    <t>STD_DEV.S</t>
  </si>
  <si>
    <t>STD_DEV.P</t>
  </si>
  <si>
    <t>VARIANCE</t>
  </si>
  <si>
    <t>XOR</t>
  </si>
  <si>
    <t>GENDER WITH CATEGORICAL DATA</t>
  </si>
  <si>
    <t>Temp (°C)</t>
  </si>
  <si>
    <t>Humidity (%)</t>
  </si>
  <si>
    <t>FOR HUMUDITY</t>
  </si>
  <si>
    <t>FOR RAINFALL</t>
  </si>
  <si>
    <t>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</si>
</sst>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0" fillId="6" borderId="5" xfId="10"/>
    <xf numFmtId="0" fontId="10" fillId="6" borderId="0" xfId="10" applyBorder="1"/>
    <xf numFmtId="0" fontId="10" fillId="6" borderId="10" xfId="10" applyBorder="1"/>
    <xf numFmtId="0" fontId="19" fillId="0" borderId="0" xfId="0" applyFont="1"/>
    <xf numFmtId="0" fontId="19" fillId="0" borderId="11" xfId="0" applyFont="1" applyBorder="1"/>
    <xf numFmtId="0" fontId="0" fillId="0" borderId="11" xfId="0" applyBorder="1"/>
    <xf numFmtId="0" fontId="16" fillId="0" borderId="0" xfId="0" applyFont="1"/>
    <xf numFmtId="0" fontId="20" fillId="0" borderId="11" xfId="0" applyFont="1" applyBorder="1"/>
    <xf numFmtId="0" fontId="16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ATA%20ANALYTICS\IMAGES%20WITH%20EXCEL.xlsx" TargetMode="External"/><Relationship Id="rId1" Type="http://schemas.openxmlformats.org/officeDocument/2006/relationships/externalLinkPath" Target="IMAGES%20WITH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8">
          <cell r="B8" t="str">
            <v>IMAGES IN EXCEL</v>
          </cell>
        </row>
        <row r="9">
          <cell r="B9" t="str">
            <v>COMPANY</v>
          </cell>
          <cell r="C9" t="str">
            <v>LOGO</v>
          </cell>
          <cell r="D9" t="str">
            <v>SALE</v>
          </cell>
        </row>
        <row r="10">
          <cell r="B10" t="str">
            <v>NETFLIX</v>
          </cell>
          <cell r="D10">
            <v>1804400</v>
          </cell>
        </row>
        <row r="11">
          <cell r="B11" t="str">
            <v>GOOGLE</v>
          </cell>
          <cell r="C11" t="e">
            <v>#VALUE!</v>
          </cell>
          <cell r="D11">
            <v>241000</v>
          </cell>
        </row>
        <row r="12">
          <cell r="B12" t="str">
            <v>AJIO</v>
          </cell>
          <cell r="C12" t="e">
            <v>#VALUE!</v>
          </cell>
          <cell r="D12">
            <v>654000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8BD4D-BD78-411B-9114-272A9A3C3834}" name="Table1" displayName="Table1" ref="P1:Z41" totalsRowShown="0">
  <autoFilter ref="P1:Z41" xr:uid="{AF78BD4D-BD78-411B-9114-272A9A3C3834}"/>
  <tableColumns count="11">
    <tableColumn id="1" xr3:uid="{22268E37-C308-4D80-AD1A-AE01B2BCA049}" name="ROUND"/>
    <tableColumn id="2" xr3:uid="{8BEAF147-3648-4FB3-8A1D-AECB668C06BC}" name="SQRT"/>
    <tableColumn id="3" xr3:uid="{2C3367C8-4FB5-403D-91ED-90EC6B9E1105}" name="MIN"/>
    <tableColumn id="4" xr3:uid="{9E997527-509D-4D86-8FFF-6961ECDAE526}" name="MAX"/>
    <tableColumn id="5" xr3:uid="{4AB3012B-0D6A-44F1-BBC2-00A6096ED84F}" name="MEDIAN"/>
    <tableColumn id="6" xr3:uid="{624A9B40-0316-4022-9CB7-88DB43AA08C5}" name="AVG"/>
    <tableColumn id="7" xr3:uid="{45097C8E-707C-4501-BE4C-F916FA5B65C1}" name="SUM"/>
    <tableColumn id="8" xr3:uid="{EA6ACF85-FF02-4307-A497-3BC8C0969243}" name="RANK"/>
    <tableColumn id="9" xr3:uid="{9CAF5217-BDC1-4ADC-9EC4-2D9C98E041C2}" name="LEFT"/>
    <tableColumn id="10" xr3:uid="{10190854-647C-4FB9-A14C-0E3705B64BC0}" name="RIGHT"/>
    <tableColumn id="11" xr3:uid="{C55D2095-CC53-4E78-B944-98ADAE630B5F}" name="LENGTH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096CB5-9235-44B5-833A-8629BAA14A01}" name="Table2" displayName="Table2" ref="AB4:AG8" totalsRowShown="0">
  <autoFilter ref="AB4:AG8" xr:uid="{9A096CB5-9235-44B5-833A-8629BAA14A01}"/>
  <tableColumns count="6">
    <tableColumn id="1" xr3:uid="{133192D1-B933-4561-A90A-86E30704702F}" name="TODAY" dataDxfId="24"/>
    <tableColumn id="2" xr3:uid="{4C943A9A-0A3A-4BBD-8E15-D08B3EAB6D7B}" name="EOMONTH" dataDxfId="23"/>
    <tableColumn id="3" xr3:uid="{C1C2F935-28B3-4D42-9BAB-060B6AA7CB65}" name="WEEKDAYS"/>
    <tableColumn id="4" xr3:uid="{693F681D-951D-4086-9448-E3482E995D82}" name="YEAR"/>
    <tableColumn id="5" xr3:uid="{9196D7C4-D597-4CEF-A53B-D125FF4509B7}" name="DAY"/>
    <tableColumn id="6" xr3:uid="{A930507C-6F77-47AB-8D9D-E73F048346D3}" name="NETWORKDAYS" dataDxfId="2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8350A-7A09-44D6-91B0-A65EBE4341E7}" name="Table3" displayName="Table3" ref="AI4:AP10" totalsRowShown="0">
  <autoFilter ref="AI4:AP10" xr:uid="{5338350A-7A09-44D6-91B0-A65EBE4341E7}"/>
  <tableColumns count="8">
    <tableColumn id="1" xr3:uid="{B1C24477-060B-44AC-BABD-24AC0E9A7702}" name="Column1"/>
    <tableColumn id="2" xr3:uid="{A5517B88-A195-4643-884D-AD48A8D5DB4D}" name="Column2"/>
    <tableColumn id="3" xr3:uid="{ACDDC1EC-9BCE-48CE-B9F1-76274288F374}" name="Column3"/>
    <tableColumn id="4" xr3:uid="{C063DA60-8DBE-460D-A7F0-389678AD1680}" name="Column4"/>
    <tableColumn id="5" xr3:uid="{ADDD1499-47C7-4599-AC95-06D2369C7FB2}" name="Column5"/>
    <tableColumn id="6" xr3:uid="{3448981B-4767-475F-B01A-8773E8B85237}" name="Column6"/>
    <tableColumn id="7" xr3:uid="{A40BB700-153D-48B9-ADF2-F871623BCA5B}" name="Column7"/>
    <tableColumn id="8" xr3:uid="{EF17CE30-D401-4533-B1D0-B79342DFF578}" name="Column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4F98DD-8A21-43EA-A8DF-653710E5F7D1}" name="Table4" displayName="Table4" ref="AC14:AF16" totalsRowShown="0" headerRowDxfId="21" headerRowBorderDxfId="20" tableBorderDxfId="19" headerRowCellStyle="Output">
  <autoFilter ref="AC14:AF16" xr:uid="{244F98DD-8A21-43EA-A8DF-653710E5F7D1}"/>
  <tableColumns count="4">
    <tableColumn id="1" xr3:uid="{3F56F900-CED5-4B0D-A4EC-9DC26A4FDC13}" name="PRODUCT"/>
    <tableColumn id="2" xr3:uid="{D35B9ED8-7B88-4EAD-B063-D6589AA9AF61}" name="FACT"/>
    <tableColumn id="3" xr3:uid="{F3868BA9-D9B3-4435-A52D-A66B794B1D40}" name="ROUND"/>
    <tableColumn id="4" xr3:uid="{1D9F01A5-583F-4F0A-A350-EC4E7E4A59A0}" name="MOD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DBCF14-E341-4065-9CC5-6C18BE63B659}" name="Table5" displayName="Table5" ref="AC18:AG27" totalsRowShown="0" headerRowDxfId="18" headerRowBorderDxfId="17" tableBorderDxfId="16" headerRowCellStyle="Output">
  <autoFilter ref="AC18:AG27" xr:uid="{68DBCF14-E341-4065-9CC5-6C18BE63B659}"/>
  <tableColumns count="5">
    <tableColumn id="1" xr3:uid="{3F338C43-A550-4E9A-B5D5-D608D0967E48}" name="DATE"/>
    <tableColumn id="2" xr3:uid="{C9948F7E-E0AF-47C4-A643-6AE3180656A7}" name="PRODUCT"/>
    <tableColumn id="3" xr3:uid="{BA68AA0B-F72F-4ED6-B2FE-F5AACA058710}" name="COLOUR" dataCellStyle="Output"/>
    <tableColumn id="4" xr3:uid="{638AAEEC-6323-4548-A79A-F0451769F254}" name="VALUE"/>
    <tableColumn id="5" xr3:uid="{F48D0BB6-8B28-43DE-ACF2-75A1B9B135BA}" name="REGION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46A738-A0E9-4F09-947A-16B8F21A309F}" name="Table6" displayName="Table6" ref="AI19:AJ22" totalsRowShown="0" headerRowDxfId="15" headerRowBorderDxfId="14" tableBorderDxfId="13" headerRowCellStyle="Output">
  <autoFilter ref="AI19:AJ22" xr:uid="{6846A738-A0E9-4F09-947A-16B8F21A309F}"/>
  <tableColumns count="2">
    <tableColumn id="1" xr3:uid="{FB4A9D54-31E1-40E8-88D4-C1A244496EBE}" name="TOTAL"/>
    <tableColumn id="2" xr3:uid="{F3610329-FF34-453C-BD7C-C7F6D4C545B1}" name="AVG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87212C-5E0F-419B-B7C5-2D6B574705E9}" name="Table9" displayName="Table9" ref="AN14:AX24" totalsRowShown="0">
  <autoFilter ref="AN14:AX24" xr:uid="{3387212C-5E0F-419B-B7C5-2D6B574705E9}"/>
  <tableColumns count="11">
    <tableColumn id="1" xr3:uid="{AC7F122A-54D0-4C90-AF96-2F7BE98AEC38}" name="Employee_ID"/>
    <tableColumn id="2" xr3:uid="{83E22F55-1CDE-4083-9872-55FE534A810C}" name="Name"/>
    <tableColumn id="3" xr3:uid="{6FD6CC9D-2B39-4E9A-B784-01953FFAEF3B}" name="Age"/>
    <tableColumn id="11" xr3:uid="{303BF229-3D72-4617-A571-5E1BF514D798}" name="Column1" dataDxfId="5">
      <calculatedColumnFormula>IF(Table9[[#This Row],[Gender]]="MALE",0,1)</calculatedColumnFormula>
    </tableColumn>
    <tableColumn id="4" xr3:uid="{28C74078-3512-41B8-AA6C-1CB8EB6CDDF6}" name="Gender"/>
    <tableColumn id="5" xr3:uid="{4688AC9D-52E4-4CDC-8477-3B0B080973B7}" name="Department"/>
    <tableColumn id="6" xr3:uid="{CAFBF40C-51A2-4E04-92D2-F1B1B33D3385}" name="Job_Role"/>
    <tableColumn id="7" xr3:uid="{36346DCD-118A-41B0-80FC-674A1777A67F}" name="Salary"/>
    <tableColumn id="8" xr3:uid="{BED09E39-6360-4BEB-9EB2-4DD4CD182CB2}" name="Experience_Years"/>
    <tableColumn id="9" xr3:uid="{99C840CA-691F-41B8-921F-E4F176009FC9}" name="Performance_Rating"/>
    <tableColumn id="10" xr3:uid="{642FC492-47E8-47C9-BB06-D224899067AE}" name="Location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EF2E88-852F-4002-AA69-457C0783D84F}" name="Table10" displayName="Table10" ref="AN27:AP29" totalsRowShown="0">
  <autoFilter ref="AN27:AP29" xr:uid="{E9EF2E88-852F-4002-AA69-457C0783D84F}"/>
  <tableColumns count="3">
    <tableColumn id="1" xr3:uid="{1E613DBA-21E6-4E54-9A5A-2A16671E3E2E}" name="VLOOKUP"/>
    <tableColumn id="2" xr3:uid="{DADD3DF1-EC36-45B7-8174-C637D77E791C}" name="MATCH">
      <calculatedColumnFormula>MATCH(AS18,AS14:AS23)</calculatedColumnFormula>
    </tableColumn>
    <tableColumn id="3" xr3:uid="{EC8F0310-CFEF-4BA0-8CF0-575A824FF641}" name="XLOOKUP">
      <calculatedColumnFormula>_xlfn.XLOOKUP(AO20,Table9[Name],Table9[Salary])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3B201C-3707-4FEA-9621-4B22470B3B84}" name="Table11" displayName="Table11" ref="AN32:AX41" totalsRowShown="0">
  <autoFilter ref="AN32:AX41" xr:uid="{EA3B201C-3707-4FEA-9621-4B22470B3B84}"/>
  <tableColumns count="11">
    <tableColumn id="1" xr3:uid="{54686265-9120-4AF2-9D04-9E005D7B5942}" name="Employee_ID"/>
    <tableColumn id="2" xr3:uid="{E45ED668-278D-4909-80A9-3283D3054FB8}" name="EMP001"/>
    <tableColumn id="3" xr3:uid="{D8E57D3C-086B-4C2E-872B-3BB3F7AC9150}" name="EMP002"/>
    <tableColumn id="4" xr3:uid="{D544A7C9-C87C-43E9-AEC1-6CCC2BDAF69D}" name="EMP003"/>
    <tableColumn id="5" xr3:uid="{51D45BE6-0361-4BE7-BF13-BED0C91F88CB}" name="EMP004"/>
    <tableColumn id="6" xr3:uid="{0DE1A767-F1D6-440E-94B1-D993BADB481B}" name="EMP005"/>
    <tableColumn id="7" xr3:uid="{82737EF3-FCFA-4BC5-A963-C37891733B8C}" name="EMP006"/>
    <tableColumn id="8" xr3:uid="{CBB6B5AA-D3E8-41E2-A631-E24E9AD97C22}" name="EMP007"/>
    <tableColumn id="9" xr3:uid="{6308FE31-D4EA-4EA3-ACC2-24A05B74280E}" name="EMP008"/>
    <tableColumn id="10" xr3:uid="{D4ECE2E2-A32F-495D-A331-2B7B0D0E8919}" name="EMP009"/>
    <tableColumn id="11" xr3:uid="{DE5EED29-2240-4DA6-9DEB-9636013A02FC}" name="EMP010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E138B2-B4B1-4E26-AF35-9EDEF4DC5270}" name="Table12" displayName="Table12" ref="AR27:AS28" totalsRowShown="0">
  <autoFilter ref="AR27:AS28" xr:uid="{EAE138B2-B4B1-4E26-AF35-9EDEF4DC5270}"/>
  <tableColumns count="2">
    <tableColumn id="1" xr3:uid="{36A353DE-98B8-4409-8745-D37060F64887}" name="INDEX">
      <calculatedColumnFormula>INDEX(AS15:AS24,3)</calculatedColumnFormula>
    </tableColumn>
    <tableColumn id="2" xr3:uid="{88EE9704-DA0D-4078-ACD1-AF2B296E4087}" name="INDEX2">
      <calculatedColumnFormula>INDEX(AN33:AX33,4)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9BE611-747A-4653-8B3C-BB24FE39D3B3}" name="Table13" displayName="Table13" ref="AN43:AN49" totalsRowShown="0">
  <autoFilter ref="AN43:AN49" xr:uid="{C79BE611-747A-4653-8B3C-BB24FE39D3B3}"/>
  <tableColumns count="1">
    <tableColumn id="1" xr3:uid="{26F99C39-EC15-45EB-8500-D6005EDFAF8A}" name="HLOOKUP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4C275D-1FA5-4231-A828-7B0FCAC908CD}" name="Table15" displayName="Table15" ref="BC15:BI24" totalsRowShown="0">
  <autoFilter ref="BC15:BI24" xr:uid="{374C275D-1FA5-4231-A828-7B0FCAC908CD}"/>
  <tableColumns count="7">
    <tableColumn id="1" xr3:uid="{360209A7-AB84-4CE4-9951-CF1295D2A857}" name="Column1" dataDxfId="12"/>
    <tableColumn id="2" xr3:uid="{C9448BC6-CEAF-4736-B2D2-578B6CC18810}" name="Column2" dataDxfId="11"/>
    <tableColumn id="3" xr3:uid="{1BF66C68-2B9F-4621-9A9E-11BA12C914DC}" name="Column3" dataDxfId="10"/>
    <tableColumn id="4" xr3:uid="{42845CF7-A9A9-4BCC-98CC-D66D01DF9EB4}" name="Column4" dataDxfId="9">
      <calculatedColumnFormula array="1">OR(Table9[Salary]&gt;10000,Table9[Performance_Rating]&gt;2)</calculatedColumnFormula>
    </tableColumn>
    <tableColumn id="5" xr3:uid="{0ADCE2ED-FCC9-4DBA-8366-3AEAD240AE6E}" name="Column5" dataDxfId="8"/>
    <tableColumn id="6" xr3:uid="{50E9242B-C8B6-42DE-AFAD-8E4E3236E8FF}" name="Column6" dataDxfId="7"/>
    <tableColumn id="7" xr3:uid="{8C888A38-D4D6-4CCB-9E77-8327BC7D0907}" name="Column7" dataDxfId="6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26AD3F-6C8D-48C8-B442-E486A15BC536}" name="Table8" displayName="Table8" ref="BB28:BF30" totalsRowShown="0">
  <autoFilter ref="BB28:BF30" xr:uid="{5B26AD3F-6C8D-48C8-B442-E486A15BC536}"/>
  <tableColumns count="5">
    <tableColumn id="1" xr3:uid="{632842FF-680E-464A-A1BA-E148D9E705D4}" name="Column5"/>
    <tableColumn id="2" xr3:uid="{B569F6F2-9806-4334-BEF1-2A6CB77E3139}" name="Column1"/>
    <tableColumn id="3" xr3:uid="{AEAAA230-FDCE-4E4D-AC9F-CB6DE518A1DB}" name="Column2"/>
    <tableColumn id="4" xr3:uid="{942166EF-6161-417B-B7F2-6316045FE411}" name="Column3"/>
    <tableColumn id="5" xr3:uid="{D62E11E9-34E6-4386-8133-CF22A5AEA9EC}" name="Column4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01C32A-DA78-498E-B903-59F9DC4978F3}" name="Table14" displayName="Table14" ref="BB32:BI37" totalsRowCount="1" headerRowDxfId="4">
  <autoFilter ref="BB32:BI36" xr:uid="{5E01C32A-DA78-498E-B903-59F9DC4978F3}"/>
  <tableColumns count="8">
    <tableColumn id="1" xr3:uid="{BE338E72-C594-488D-9768-9C8EF6B94AF6}" name="MEAN" totalsRowFunction="custom">
      <calculatedColumnFormula>AVERAGE(Table9[Salary])</calculatedColumnFormula>
      <totalsRowFormula>MODE(Table9[Column1])</totalsRowFormula>
    </tableColumn>
    <tableColumn id="2" xr3:uid="{FF69DB41-787D-40F9-B667-6C62858B0461}" name="MEDIAN">
      <calculatedColumnFormula>MEDIAN(Table9[Salary])</calculatedColumnFormula>
    </tableColumn>
    <tableColumn id="3" xr3:uid="{FE2CD6CF-FDF0-409A-92F0-F4EC1A252B28}" name="MODE">
      <calculatedColumnFormula>MODE(Table9[Performance_Rating])</calculatedColumnFormula>
    </tableColumn>
    <tableColumn id="4" xr3:uid="{B7268B02-2686-4F8F-BD97-ECA880F10783}" name="STD_DEV">
      <calculatedColumnFormula>STDEV(Table9[Salary])</calculatedColumnFormula>
    </tableColumn>
    <tableColumn id="5" xr3:uid="{9D6AC677-BB02-4EE1-98AA-CD4B03D7D110}" name="VARAIANCE">
      <calculatedColumnFormula>VAR(Table9[Age],Table9[Salary])</calculatedColumnFormula>
    </tableColumn>
    <tableColumn id="6" xr3:uid="{A09F5580-C41A-463D-BEC4-EC21C2AD12E6}" name="STD_DEV.S">
      <calculatedColumnFormula>_xlfn.STDEV.P(AU15,AU16)</calculatedColumnFormula>
    </tableColumn>
    <tableColumn id="7" xr3:uid="{5D63F5C7-EE09-4DDE-94F0-92CCA7C403AF}" name="STD_DEV.P">
      <calculatedColumnFormula>_xlfn.STDEV.P(AU17,AU18)</calculatedColumnFormula>
    </tableColumn>
    <tableColumn id="8" xr3:uid="{B9B35165-CA53-4364-A8B9-5C48301F9450}" name="VARIANCE">
      <calculatedColumnFormula>_xlfn.VAR.P(A28)</calculatedColumn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9518B1-90ED-4747-B5DA-8900B9ADF952}" name="Table17" displayName="Table17" ref="AU1:AW9" totalsRowShown="0" dataDxfId="0">
  <autoFilter ref="AU1:AW9" xr:uid="{FE9518B1-90ED-4747-B5DA-8900B9ADF952}"/>
  <tableColumns count="3">
    <tableColumn id="2" xr3:uid="{B889CDC9-6012-4160-9FD7-4D37993EF181}" name="Temp (°C)" dataDxfId="3"/>
    <tableColumn id="3" xr3:uid="{215DB7CA-F354-4BC3-AD67-09CCD7C7AC0F}" name="Humidity (%)" dataDxfId="2"/>
    <tableColumn id="4" xr3:uid="{AA6880BC-6BEE-4442-873A-29D73AD2F522}" name="Rainfall (mm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4496-9B0C-42F1-8482-3F0F306D1C6E}">
  <dimension ref="A1:BO49"/>
  <sheetViews>
    <sheetView tabSelected="1" topLeftCell="AN1" zoomScaleNormal="100" workbookViewId="0">
      <selection activeCell="AV13" sqref="AV13"/>
    </sheetView>
  </sheetViews>
  <sheetFormatPr defaultRowHeight="15" x14ac:dyDescent="0.25"/>
  <cols>
    <col min="16" max="16" width="9.7109375" customWidth="1"/>
    <col min="20" max="20" width="10.42578125" customWidth="1"/>
    <col min="26" max="26" width="10" customWidth="1"/>
    <col min="28" max="28" width="11.7109375" customWidth="1"/>
    <col min="29" max="29" width="12.42578125" customWidth="1"/>
    <col min="30" max="30" width="12.7109375" customWidth="1"/>
    <col min="31" max="31" width="10.5703125" customWidth="1"/>
    <col min="33" max="33" width="16.7109375" customWidth="1"/>
    <col min="35" max="35" width="16.42578125" customWidth="1"/>
    <col min="36" max="39" width="11" customWidth="1"/>
    <col min="40" max="40" width="15.140625" customWidth="1"/>
    <col min="41" max="41" width="11" customWidth="1"/>
    <col min="42" max="42" width="11.5703125" customWidth="1"/>
    <col min="43" max="43" width="10" customWidth="1"/>
    <col min="44" max="44" width="14.140625" customWidth="1"/>
    <col min="45" max="45" width="11.42578125" customWidth="1"/>
    <col min="46" max="46" width="10" customWidth="1"/>
    <col min="47" max="47" width="15.140625" customWidth="1"/>
    <col min="48" max="48" width="21.5703125" customWidth="1"/>
    <col min="49" max="50" width="11" customWidth="1"/>
    <col min="54" max="54" width="23.28515625" customWidth="1"/>
    <col min="55" max="55" width="13.42578125" customWidth="1"/>
    <col min="56" max="56" width="11" customWidth="1"/>
    <col min="57" max="57" width="11.140625" customWidth="1"/>
    <col min="58" max="58" width="13.5703125" customWidth="1"/>
    <col min="64" max="64" width="11.5703125" customWidth="1"/>
    <col min="65" max="65" width="17.42578125" customWidth="1"/>
    <col min="66" max="66" width="10" customWidth="1"/>
  </cols>
  <sheetData>
    <row r="1" spans="1:67" ht="30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T1" s="15" t="s">
        <v>107</v>
      </c>
      <c r="AU1" s="15" t="s">
        <v>211</v>
      </c>
      <c r="AV1" s="15" t="s">
        <v>212</v>
      </c>
      <c r="AW1" s="15" t="s">
        <v>215</v>
      </c>
    </row>
    <row r="2" spans="1:67" ht="15.75" thickBot="1" x14ac:dyDescent="0.3">
      <c r="A2">
        <v>1</v>
      </c>
      <c r="B2">
        <v>15634602</v>
      </c>
      <c r="C2" t="s">
        <v>39</v>
      </c>
      <c r="D2">
        <v>619</v>
      </c>
      <c r="E2" t="s">
        <v>40</v>
      </c>
      <c r="F2" t="s">
        <v>41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P2">
        <v>0</v>
      </c>
      <c r="Q2">
        <v>1.414213562</v>
      </c>
      <c r="R2">
        <v>1</v>
      </c>
      <c r="S2">
        <v>1</v>
      </c>
      <c r="T2">
        <v>1</v>
      </c>
      <c r="U2">
        <v>1</v>
      </c>
      <c r="V2">
        <v>101348.88</v>
      </c>
      <c r="W2">
        <v>2895</v>
      </c>
      <c r="X2" t="s">
        <v>42</v>
      </c>
      <c r="Y2" t="s">
        <v>43</v>
      </c>
      <c r="Z2">
        <v>6</v>
      </c>
      <c r="AB2" s="5"/>
      <c r="AC2" s="5"/>
      <c r="AD2" s="6" t="s">
        <v>128</v>
      </c>
      <c r="AE2" s="6"/>
      <c r="AF2" s="7"/>
      <c r="AK2" s="6" t="s">
        <v>129</v>
      </c>
      <c r="AL2" s="7"/>
      <c r="AT2" s="16">
        <v>1</v>
      </c>
      <c r="AU2" s="16">
        <v>30</v>
      </c>
      <c r="AV2" s="16">
        <v>65</v>
      </c>
      <c r="AW2" s="16">
        <v>0</v>
      </c>
    </row>
    <row r="3" spans="1:67" x14ac:dyDescent="0.25">
      <c r="A3">
        <v>2</v>
      </c>
      <c r="B3">
        <v>15647311</v>
      </c>
      <c r="C3" t="s">
        <v>50</v>
      </c>
      <c r="D3">
        <v>608</v>
      </c>
      <c r="E3" t="s">
        <v>51</v>
      </c>
      <c r="F3" t="s">
        <v>41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P3">
        <v>83807.86</v>
      </c>
      <c r="Q3">
        <v>1</v>
      </c>
      <c r="R3">
        <v>0</v>
      </c>
      <c r="S3">
        <v>1</v>
      </c>
      <c r="T3">
        <v>1</v>
      </c>
      <c r="U3">
        <v>0.66666666699999999</v>
      </c>
      <c r="V3">
        <v>196350.44</v>
      </c>
      <c r="W3">
        <v>1262</v>
      </c>
      <c r="X3" t="s">
        <v>42</v>
      </c>
      <c r="Y3" t="s">
        <v>52</v>
      </c>
      <c r="Z3">
        <v>6</v>
      </c>
      <c r="AT3" s="16">
        <v>2</v>
      </c>
      <c r="AU3" s="16">
        <v>31</v>
      </c>
      <c r="AV3" s="16">
        <v>60</v>
      </c>
      <c r="AW3" s="16">
        <v>0</v>
      </c>
    </row>
    <row r="4" spans="1:67" x14ac:dyDescent="0.25">
      <c r="A4">
        <v>3</v>
      </c>
      <c r="B4">
        <v>15619304</v>
      </c>
      <c r="C4" t="s">
        <v>59</v>
      </c>
      <c r="D4">
        <v>502</v>
      </c>
      <c r="E4" t="s">
        <v>40</v>
      </c>
      <c r="F4" t="s">
        <v>41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P4">
        <v>159660.79999999999</v>
      </c>
      <c r="Q4">
        <v>2.8284271250000002</v>
      </c>
      <c r="R4">
        <v>0</v>
      </c>
      <c r="S4">
        <v>3</v>
      </c>
      <c r="T4">
        <v>1</v>
      </c>
      <c r="U4">
        <v>1.3333333329999999</v>
      </c>
      <c r="V4">
        <v>273592.37</v>
      </c>
      <c r="W4">
        <v>8360</v>
      </c>
      <c r="X4" t="s">
        <v>42</v>
      </c>
      <c r="Y4" t="s">
        <v>43</v>
      </c>
      <c r="Z4">
        <v>6</v>
      </c>
      <c r="AB4" t="s">
        <v>25</v>
      </c>
      <c r="AC4" t="s">
        <v>26</v>
      </c>
      <c r="AD4" t="s">
        <v>27</v>
      </c>
      <c r="AE4" t="s">
        <v>28</v>
      </c>
      <c r="AF4" t="s">
        <v>29</v>
      </c>
      <c r="AG4" t="s">
        <v>30</v>
      </c>
      <c r="AI4" t="s">
        <v>31</v>
      </c>
      <c r="AJ4" t="s">
        <v>32</v>
      </c>
      <c r="AK4" t="s">
        <v>33</v>
      </c>
      <c r="AL4" t="s">
        <v>34</v>
      </c>
      <c r="AM4" t="s">
        <v>35</v>
      </c>
      <c r="AN4" t="s">
        <v>36</v>
      </c>
      <c r="AO4" t="s">
        <v>37</v>
      </c>
      <c r="AP4" t="s">
        <v>38</v>
      </c>
      <c r="AT4" s="16">
        <v>3</v>
      </c>
      <c r="AU4" s="16">
        <v>29</v>
      </c>
      <c r="AV4" s="16">
        <v>70</v>
      </c>
      <c r="AW4" s="16">
        <v>5</v>
      </c>
    </row>
    <row r="5" spans="1:67" x14ac:dyDescent="0.25">
      <c r="A5">
        <v>4</v>
      </c>
      <c r="B5">
        <v>15701354</v>
      </c>
      <c r="C5" t="s">
        <v>64</v>
      </c>
      <c r="D5">
        <v>699</v>
      </c>
      <c r="E5" t="s">
        <v>40</v>
      </c>
      <c r="F5" t="s">
        <v>41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P5">
        <v>0</v>
      </c>
      <c r="Q5">
        <v>1</v>
      </c>
      <c r="R5">
        <v>0</v>
      </c>
      <c r="S5">
        <v>2</v>
      </c>
      <c r="T5">
        <v>0</v>
      </c>
      <c r="U5">
        <v>0.66666666699999999</v>
      </c>
      <c r="V5">
        <v>93826.63</v>
      </c>
      <c r="W5">
        <v>2341</v>
      </c>
      <c r="X5" t="s">
        <v>42</v>
      </c>
      <c r="Y5" t="s">
        <v>43</v>
      </c>
      <c r="Z5">
        <v>6</v>
      </c>
      <c r="AB5" s="1"/>
      <c r="AC5" s="1"/>
      <c r="AD5" s="1"/>
      <c r="AE5" s="1"/>
      <c r="AF5" s="1"/>
      <c r="AG5" s="1"/>
      <c r="AI5" t="s">
        <v>31</v>
      </c>
      <c r="AJ5" t="s">
        <v>32</v>
      </c>
      <c r="AK5" t="s">
        <v>33</v>
      </c>
      <c r="AL5" t="s">
        <v>34</v>
      </c>
      <c r="AM5" t="s">
        <v>35</v>
      </c>
      <c r="AN5" t="s">
        <v>36</v>
      </c>
      <c r="AO5" t="s">
        <v>37</v>
      </c>
      <c r="AP5" t="s">
        <v>38</v>
      </c>
      <c r="AT5" s="16">
        <v>4</v>
      </c>
      <c r="AU5" s="16">
        <v>32</v>
      </c>
      <c r="AV5" s="16">
        <v>58</v>
      </c>
      <c r="AW5" s="16">
        <v>0</v>
      </c>
    </row>
    <row r="6" spans="1:67" x14ac:dyDescent="0.25">
      <c r="A6">
        <v>5</v>
      </c>
      <c r="B6">
        <v>15737888</v>
      </c>
      <c r="C6" t="s">
        <v>66</v>
      </c>
      <c r="D6">
        <v>850</v>
      </c>
      <c r="E6" t="s">
        <v>51</v>
      </c>
      <c r="F6" t="s">
        <v>41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P6">
        <v>125510.82</v>
      </c>
      <c r="Q6">
        <v>1.414213562</v>
      </c>
      <c r="R6">
        <v>1</v>
      </c>
      <c r="S6">
        <v>1</v>
      </c>
      <c r="T6">
        <v>1</v>
      </c>
      <c r="U6">
        <v>1</v>
      </c>
      <c r="V6">
        <v>204594.92</v>
      </c>
      <c r="W6">
        <v>8981</v>
      </c>
      <c r="X6" t="s">
        <v>42</v>
      </c>
      <c r="Y6" t="s">
        <v>52</v>
      </c>
      <c r="Z6">
        <v>6</v>
      </c>
      <c r="AB6" s="1"/>
      <c r="AC6" s="1"/>
      <c r="AG6" s="1"/>
      <c r="AK6" t="s">
        <v>44</v>
      </c>
      <c r="AL6" t="s">
        <v>45</v>
      </c>
      <c r="AM6" t="s">
        <v>46</v>
      </c>
      <c r="AN6" t="s">
        <v>47</v>
      </c>
      <c r="AO6" t="s">
        <v>48</v>
      </c>
      <c r="AP6" t="s">
        <v>49</v>
      </c>
      <c r="AT6" s="16">
        <v>5</v>
      </c>
      <c r="AU6" s="16">
        <v>33</v>
      </c>
      <c r="AV6" s="16">
        <v>55</v>
      </c>
      <c r="AW6" s="16">
        <v>0</v>
      </c>
    </row>
    <row r="7" spans="1:67" x14ac:dyDescent="0.25">
      <c r="A7">
        <v>6</v>
      </c>
      <c r="B7">
        <v>15574012</v>
      </c>
      <c r="C7" t="s">
        <v>68</v>
      </c>
      <c r="D7">
        <v>645</v>
      </c>
      <c r="E7" t="s">
        <v>51</v>
      </c>
      <c r="F7" t="s">
        <v>69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P7">
        <v>113755.78</v>
      </c>
      <c r="Q7">
        <v>2.8284271250000002</v>
      </c>
      <c r="R7">
        <v>0</v>
      </c>
      <c r="S7">
        <v>2</v>
      </c>
      <c r="T7">
        <v>1</v>
      </c>
      <c r="U7">
        <v>1</v>
      </c>
      <c r="V7">
        <v>263512.49</v>
      </c>
      <c r="W7">
        <v>7629</v>
      </c>
      <c r="X7" t="s">
        <v>70</v>
      </c>
      <c r="Y7" t="s">
        <v>52</v>
      </c>
      <c r="Z7">
        <v>4</v>
      </c>
      <c r="AB7" s="1">
        <v>46174</v>
      </c>
      <c r="AC7" s="1">
        <v>45900</v>
      </c>
      <c r="AD7">
        <v>7</v>
      </c>
      <c r="AE7">
        <v>2025</v>
      </c>
      <c r="AF7">
        <v>15</v>
      </c>
      <c r="AG7" s="1">
        <v>6155</v>
      </c>
      <c r="AI7" t="s">
        <v>53</v>
      </c>
      <c r="AJ7" t="s">
        <v>54</v>
      </c>
      <c r="AK7">
        <v>1</v>
      </c>
      <c r="AL7" t="s">
        <v>55</v>
      </c>
      <c r="AM7" t="s">
        <v>56</v>
      </c>
      <c r="AN7" t="s">
        <v>57</v>
      </c>
      <c r="AO7">
        <v>1</v>
      </c>
      <c r="AP7" t="s">
        <v>58</v>
      </c>
      <c r="AT7" s="16">
        <v>6</v>
      </c>
      <c r="AU7" s="16">
        <v>34</v>
      </c>
      <c r="AV7" s="16">
        <v>52</v>
      </c>
      <c r="AW7" s="16">
        <v>0</v>
      </c>
    </row>
    <row r="8" spans="1:67" x14ac:dyDescent="0.25">
      <c r="A8">
        <v>7</v>
      </c>
      <c r="B8">
        <v>15592531</v>
      </c>
      <c r="C8" t="s">
        <v>71</v>
      </c>
      <c r="D8">
        <v>822</v>
      </c>
      <c r="E8" t="s">
        <v>40</v>
      </c>
      <c r="F8" t="s">
        <v>69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P8">
        <v>0</v>
      </c>
      <c r="Q8">
        <v>2.6457513110000002</v>
      </c>
      <c r="R8">
        <v>1</v>
      </c>
      <c r="S8">
        <v>2</v>
      </c>
      <c r="T8">
        <v>1</v>
      </c>
      <c r="U8">
        <v>1.3333333329999999</v>
      </c>
      <c r="V8">
        <v>10062.799999999999</v>
      </c>
      <c r="W8">
        <v>9544</v>
      </c>
      <c r="X8" t="s">
        <v>70</v>
      </c>
      <c r="Y8" t="s">
        <v>43</v>
      </c>
      <c r="Z8">
        <v>4</v>
      </c>
      <c r="AB8" s="1">
        <v>46174</v>
      </c>
      <c r="AC8" s="1">
        <v>47603</v>
      </c>
      <c r="AD8">
        <v>6</v>
      </c>
      <c r="AE8">
        <v>2023</v>
      </c>
      <c r="AF8">
        <v>12</v>
      </c>
      <c r="AG8" s="1">
        <v>937</v>
      </c>
      <c r="AI8" t="s">
        <v>60</v>
      </c>
      <c r="AJ8" t="s">
        <v>54</v>
      </c>
      <c r="AK8">
        <v>2</v>
      </c>
      <c r="AM8" t="s">
        <v>61</v>
      </c>
      <c r="AN8" t="s">
        <v>62</v>
      </c>
      <c r="AO8">
        <v>5</v>
      </c>
      <c r="AP8" t="s">
        <v>63</v>
      </c>
      <c r="AT8" s="16">
        <v>7</v>
      </c>
      <c r="AU8" s="16">
        <v>35</v>
      </c>
      <c r="AV8" s="16">
        <v>50</v>
      </c>
      <c r="AW8" s="16">
        <v>0</v>
      </c>
    </row>
    <row r="9" spans="1:67" x14ac:dyDescent="0.25">
      <c r="A9">
        <v>8</v>
      </c>
      <c r="B9">
        <v>15656148</v>
      </c>
      <c r="C9" t="s">
        <v>72</v>
      </c>
      <c r="D9">
        <v>376</v>
      </c>
      <c r="E9" t="s">
        <v>73</v>
      </c>
      <c r="F9" t="s">
        <v>41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P9">
        <v>115046.74</v>
      </c>
      <c r="Q9">
        <v>2</v>
      </c>
      <c r="R9">
        <v>0</v>
      </c>
      <c r="S9">
        <v>4</v>
      </c>
      <c r="T9">
        <v>1</v>
      </c>
      <c r="U9">
        <v>1.6666666670000001</v>
      </c>
      <c r="V9">
        <v>234393.62</v>
      </c>
      <c r="W9">
        <v>6322</v>
      </c>
      <c r="X9" t="s">
        <v>42</v>
      </c>
      <c r="Y9" t="s">
        <v>74</v>
      </c>
      <c r="Z9">
        <v>6</v>
      </c>
      <c r="AI9" t="s">
        <v>65</v>
      </c>
      <c r="AJ9" t="s">
        <v>54</v>
      </c>
      <c r="AK9">
        <v>4</v>
      </c>
      <c r="AO9">
        <v>2</v>
      </c>
      <c r="AU9" s="16">
        <v>35</v>
      </c>
      <c r="AV9" s="16">
        <v>48</v>
      </c>
      <c r="AW9" s="16">
        <v>0</v>
      </c>
    </row>
    <row r="10" spans="1:67" ht="15.75" thickBot="1" x14ac:dyDescent="0.3">
      <c r="A10">
        <v>9</v>
      </c>
      <c r="B10">
        <v>15792365</v>
      </c>
      <c r="C10" t="s">
        <v>75</v>
      </c>
      <c r="D10">
        <v>501</v>
      </c>
      <c r="E10" t="s">
        <v>40</v>
      </c>
      <c r="F10" t="s">
        <v>69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P10">
        <v>142051.07</v>
      </c>
      <c r="Q10">
        <v>2</v>
      </c>
      <c r="R10">
        <v>0</v>
      </c>
      <c r="S10">
        <v>2</v>
      </c>
      <c r="T10">
        <v>1</v>
      </c>
      <c r="U10">
        <v>1</v>
      </c>
      <c r="V10">
        <v>216991.57</v>
      </c>
      <c r="W10">
        <v>9390</v>
      </c>
      <c r="X10" t="s">
        <v>70</v>
      </c>
      <c r="Y10" t="s">
        <v>43</v>
      </c>
      <c r="Z10">
        <v>4</v>
      </c>
      <c r="AI10" t="s">
        <v>67</v>
      </c>
      <c r="AJ10" t="s">
        <v>54</v>
      </c>
      <c r="AK10">
        <v>5</v>
      </c>
      <c r="AO10">
        <v>4</v>
      </c>
    </row>
    <row r="11" spans="1:67" ht="15.75" thickBot="1" x14ac:dyDescent="0.3">
      <c r="A11">
        <v>10</v>
      </c>
      <c r="B11">
        <v>15592389</v>
      </c>
      <c r="C11" t="s">
        <v>76</v>
      </c>
      <c r="D11">
        <v>684</v>
      </c>
      <c r="E11" t="s">
        <v>40</v>
      </c>
      <c r="F11" t="s">
        <v>69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P11">
        <v>134603.88</v>
      </c>
      <c r="Q11">
        <v>1.414213562</v>
      </c>
      <c r="R11">
        <v>1</v>
      </c>
      <c r="S11">
        <v>1</v>
      </c>
      <c r="T11">
        <v>1</v>
      </c>
      <c r="U11">
        <v>1</v>
      </c>
      <c r="V11">
        <v>206329.61</v>
      </c>
      <c r="W11">
        <v>5848</v>
      </c>
      <c r="X11" t="s">
        <v>70</v>
      </c>
      <c r="Y11" t="s">
        <v>43</v>
      </c>
      <c r="Z11">
        <v>4</v>
      </c>
      <c r="AC11" s="6" t="s">
        <v>127</v>
      </c>
      <c r="AD11" s="7"/>
      <c r="AE11" s="7"/>
      <c r="AU11" s="8" t="s">
        <v>213</v>
      </c>
      <c r="AV11" s="8" t="s">
        <v>214</v>
      </c>
    </row>
    <row r="12" spans="1:67" ht="16.5" thickBot="1" x14ac:dyDescent="0.3">
      <c r="A12">
        <v>11</v>
      </c>
      <c r="B12">
        <v>15767821</v>
      </c>
      <c r="C12" t="s">
        <v>77</v>
      </c>
      <c r="D12">
        <v>528</v>
      </c>
      <c r="E12" t="s">
        <v>40</v>
      </c>
      <c r="F12" t="s">
        <v>69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P12">
        <v>102016.72</v>
      </c>
      <c r="Q12">
        <v>2.449489743</v>
      </c>
      <c r="R12">
        <v>0</v>
      </c>
      <c r="S12">
        <v>2</v>
      </c>
      <c r="T12">
        <v>0</v>
      </c>
      <c r="U12">
        <v>0.66666666699999999</v>
      </c>
      <c r="V12">
        <v>182197.84</v>
      </c>
      <c r="W12">
        <v>2112</v>
      </c>
      <c r="X12" t="s">
        <v>70</v>
      </c>
      <c r="Y12" t="s">
        <v>43</v>
      </c>
      <c r="Z12">
        <v>4</v>
      </c>
      <c r="AN12" s="5" t="s">
        <v>130</v>
      </c>
      <c r="AU12">
        <f>_xlfn.FORECAST.LINEAR(8,Table17[Humidity (%)],Table17[Temp (°C)])</f>
        <v>137.93379790940764</v>
      </c>
      <c r="AV12">
        <f>_xlfn.FORECAST.LINEAR(8,D2:D8,A2:A8)</f>
        <v>825.14285714285722</v>
      </c>
      <c r="BO12" s="14"/>
    </row>
    <row r="13" spans="1:67" ht="21.75" thickBot="1" x14ac:dyDescent="0.4">
      <c r="A13">
        <v>12</v>
      </c>
      <c r="B13">
        <v>15737173</v>
      </c>
      <c r="C13" t="s">
        <v>78</v>
      </c>
      <c r="D13">
        <v>497</v>
      </c>
      <c r="E13" t="s">
        <v>51</v>
      </c>
      <c r="F13" t="s">
        <v>69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P13">
        <v>0</v>
      </c>
      <c r="Q13">
        <v>1.7320508080000001</v>
      </c>
      <c r="R13">
        <v>0</v>
      </c>
      <c r="S13">
        <v>2</v>
      </c>
      <c r="T13">
        <v>1</v>
      </c>
      <c r="U13">
        <v>1</v>
      </c>
      <c r="V13">
        <v>76390.009999999995</v>
      </c>
      <c r="W13">
        <v>589</v>
      </c>
      <c r="X13" t="s">
        <v>70</v>
      </c>
      <c r="Y13" t="s">
        <v>52</v>
      </c>
      <c r="Z13">
        <v>4</v>
      </c>
      <c r="BB13" s="9" t="s">
        <v>189</v>
      </c>
      <c r="BC13" s="6"/>
      <c r="BD13" s="6"/>
      <c r="BE13" s="5"/>
      <c r="BO13" s="14"/>
    </row>
    <row r="14" spans="1:67" ht="15.75" x14ac:dyDescent="0.25">
      <c r="A14">
        <v>13</v>
      </c>
      <c r="B14">
        <v>15632264</v>
      </c>
      <c r="C14" t="s">
        <v>79</v>
      </c>
      <c r="D14">
        <v>476</v>
      </c>
      <c r="E14" t="s">
        <v>40</v>
      </c>
      <c r="F14" t="s">
        <v>41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P14">
        <v>0</v>
      </c>
      <c r="Q14">
        <v>3.16227766</v>
      </c>
      <c r="R14">
        <v>0</v>
      </c>
      <c r="S14">
        <v>2</v>
      </c>
      <c r="T14">
        <v>1</v>
      </c>
      <c r="U14">
        <v>1</v>
      </c>
      <c r="V14">
        <v>26260.98</v>
      </c>
      <c r="W14">
        <v>9544</v>
      </c>
      <c r="X14" t="s">
        <v>42</v>
      </c>
      <c r="Y14" t="s">
        <v>43</v>
      </c>
      <c r="Z14">
        <v>6</v>
      </c>
      <c r="AC14" s="4" t="s">
        <v>108</v>
      </c>
      <c r="AD14" s="4" t="s">
        <v>109</v>
      </c>
      <c r="AE14" s="4" t="s">
        <v>14</v>
      </c>
      <c r="AF14" s="4" t="s">
        <v>110</v>
      </c>
      <c r="AN14" t="s">
        <v>131</v>
      </c>
      <c r="AO14" t="s">
        <v>132</v>
      </c>
      <c r="AP14" t="s">
        <v>6</v>
      </c>
      <c r="AQ14" t="s">
        <v>31</v>
      </c>
      <c r="AR14" t="s">
        <v>5</v>
      </c>
      <c r="AS14" t="s">
        <v>133</v>
      </c>
      <c r="AT14" t="s">
        <v>134</v>
      </c>
      <c r="AU14" t="s">
        <v>135</v>
      </c>
      <c r="AV14" t="s">
        <v>136</v>
      </c>
      <c r="AW14" t="s">
        <v>137</v>
      </c>
      <c r="AX14" t="s">
        <v>138</v>
      </c>
      <c r="BA14" s="2"/>
      <c r="BO14" s="14"/>
    </row>
    <row r="15" spans="1:67" ht="16.5" thickBot="1" x14ac:dyDescent="0.3">
      <c r="A15">
        <v>14</v>
      </c>
      <c r="B15">
        <v>15691483</v>
      </c>
      <c r="C15" t="s">
        <v>80</v>
      </c>
      <c r="D15">
        <v>549</v>
      </c>
      <c r="E15" t="s">
        <v>40</v>
      </c>
      <c r="F15" t="s">
        <v>41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P15">
        <v>0</v>
      </c>
      <c r="Q15">
        <v>2.2360679769999998</v>
      </c>
      <c r="R15">
        <v>0</v>
      </c>
      <c r="S15">
        <v>2</v>
      </c>
      <c r="T15">
        <v>0</v>
      </c>
      <c r="U15">
        <v>0.66666666699999999</v>
      </c>
      <c r="V15">
        <v>190857.79</v>
      </c>
      <c r="W15">
        <v>2112</v>
      </c>
      <c r="X15" t="s">
        <v>42</v>
      </c>
      <c r="Y15" t="s">
        <v>43</v>
      </c>
      <c r="Z15">
        <v>6</v>
      </c>
      <c r="AC15">
        <f>PRODUCT(8,3)</f>
        <v>24</v>
      </c>
      <c r="AD15">
        <f>FACT(5)</f>
        <v>120</v>
      </c>
      <c r="AE15">
        <f>ROUND(SQRT(15),2)</f>
        <v>3.87</v>
      </c>
      <c r="AF15">
        <f>MOD(100,3)</f>
        <v>1</v>
      </c>
      <c r="AN15" t="s">
        <v>139</v>
      </c>
      <c r="AO15" t="s">
        <v>140</v>
      </c>
      <c r="AP15">
        <v>28</v>
      </c>
      <c r="AQ15">
        <f>IF(Table9[[#This Row],[Gender]]="MALE",0,1)</f>
        <v>0</v>
      </c>
      <c r="AR15" t="s">
        <v>69</v>
      </c>
      <c r="AS15" t="s">
        <v>141</v>
      </c>
      <c r="AT15" t="s">
        <v>142</v>
      </c>
      <c r="AU15">
        <v>55000</v>
      </c>
      <c r="AV15">
        <v>3</v>
      </c>
      <c r="AW15">
        <v>4</v>
      </c>
      <c r="AX15" t="s">
        <v>143</v>
      </c>
      <c r="BC15" t="s">
        <v>31</v>
      </c>
      <c r="BD15" t="s">
        <v>32</v>
      </c>
      <c r="BE15" t="s">
        <v>33</v>
      </c>
      <c r="BF15" t="s">
        <v>34</v>
      </c>
      <c r="BG15" t="s">
        <v>35</v>
      </c>
      <c r="BH15" t="s">
        <v>36</v>
      </c>
      <c r="BI15" t="s">
        <v>37</v>
      </c>
      <c r="BO15" s="14"/>
    </row>
    <row r="16" spans="1:67" ht="25.5" customHeight="1" x14ac:dyDescent="0.25">
      <c r="A16">
        <v>15</v>
      </c>
      <c r="B16">
        <v>15600882</v>
      </c>
      <c r="C16" t="s">
        <v>81</v>
      </c>
      <c r="D16">
        <v>635</v>
      </c>
      <c r="E16" t="s">
        <v>51</v>
      </c>
      <c r="F16" t="s">
        <v>41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P16">
        <v>0</v>
      </c>
      <c r="Q16">
        <v>2.6457513110000002</v>
      </c>
      <c r="R16">
        <v>1</v>
      </c>
      <c r="S16">
        <v>2</v>
      </c>
      <c r="T16">
        <v>1</v>
      </c>
      <c r="U16">
        <v>1.3333333329999999</v>
      </c>
      <c r="V16">
        <v>65951.649999999994</v>
      </c>
      <c r="W16">
        <v>9544</v>
      </c>
      <c r="X16" t="s">
        <v>42</v>
      </c>
      <c r="Y16" t="s">
        <v>52</v>
      </c>
      <c r="Z16">
        <v>6</v>
      </c>
      <c r="AF16">
        <f>MOD(100,2)</f>
        <v>0</v>
      </c>
      <c r="AN16" t="s">
        <v>144</v>
      </c>
      <c r="AO16" t="s">
        <v>145</v>
      </c>
      <c r="AP16">
        <v>32</v>
      </c>
      <c r="AQ16">
        <f>IF(Table9[[#This Row],[Gender]]="MALE",0,1)</f>
        <v>1</v>
      </c>
      <c r="AR16" t="s">
        <v>41</v>
      </c>
      <c r="AS16" t="s">
        <v>146</v>
      </c>
      <c r="AT16" t="s">
        <v>147</v>
      </c>
      <c r="AU16">
        <v>65000</v>
      </c>
      <c r="AV16">
        <v>7</v>
      </c>
      <c r="AW16">
        <v>5</v>
      </c>
      <c r="AX16" t="s">
        <v>148</v>
      </c>
      <c r="BC16" s="10" t="s">
        <v>190</v>
      </c>
      <c r="BD16" s="10" t="s">
        <v>191</v>
      </c>
      <c r="BE16" s="10" t="s">
        <v>192</v>
      </c>
      <c r="BF16" s="10" t="s">
        <v>193</v>
      </c>
      <c r="BG16" s="10" t="s">
        <v>194</v>
      </c>
      <c r="BH16" s="10" t="s">
        <v>209</v>
      </c>
      <c r="BI16" s="10" t="s">
        <v>195</v>
      </c>
      <c r="BO16" s="14"/>
    </row>
    <row r="17" spans="1:67" ht="30.75" customHeight="1" thickBot="1" x14ac:dyDescent="0.3">
      <c r="A17">
        <v>16</v>
      </c>
      <c r="B17">
        <v>15643966</v>
      </c>
      <c r="C17" t="s">
        <v>82</v>
      </c>
      <c r="D17">
        <v>616</v>
      </c>
      <c r="E17" t="s">
        <v>73</v>
      </c>
      <c r="F17" t="s">
        <v>69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P17">
        <v>143129.41</v>
      </c>
      <c r="Q17">
        <v>1.7320508080000001</v>
      </c>
      <c r="R17">
        <v>0</v>
      </c>
      <c r="S17">
        <v>2</v>
      </c>
      <c r="T17">
        <v>1</v>
      </c>
      <c r="U17">
        <v>1</v>
      </c>
      <c r="V17">
        <v>207456.67</v>
      </c>
      <c r="W17">
        <v>3216</v>
      </c>
      <c r="X17" t="s">
        <v>70</v>
      </c>
      <c r="Y17" t="s">
        <v>74</v>
      </c>
      <c r="Z17">
        <v>4</v>
      </c>
      <c r="AN17" t="s">
        <v>149</v>
      </c>
      <c r="AO17" t="s">
        <v>150</v>
      </c>
      <c r="AP17">
        <v>26</v>
      </c>
      <c r="AQ17">
        <f>IF(Table9[[#This Row],[Gender]]="MALE",0,1)</f>
        <v>0</v>
      </c>
      <c r="AR17" t="s">
        <v>69</v>
      </c>
      <c r="AS17" t="s">
        <v>151</v>
      </c>
      <c r="AT17" t="s">
        <v>152</v>
      </c>
      <c r="AU17">
        <v>45000</v>
      </c>
      <c r="AV17">
        <v>2</v>
      </c>
      <c r="AW17">
        <v>3</v>
      </c>
      <c r="AX17" t="s">
        <v>153</v>
      </c>
      <c r="BC17" s="11" t="str">
        <f>IF(Table9[[#This Row],[Age]]&lt;21,"EMPLOYEE","TRAINEE")</f>
        <v>TRAINEE</v>
      </c>
      <c r="BD17" s="11" t="str" cm="1">
        <f t="array" ref="BD17">_xlfn.IFS(AU15&lt;50000,"40k-5Ok",AU15&lt;60000,"50k",AU15&lt;70000,"60k-70k",AU15&lt;10000,"80k-1LAKH")</f>
        <v>50k</v>
      </c>
      <c r="BE17" s="13" t="b">
        <f>AND(Table9[[#Headers],[Age]]&gt;21,Table9[[#Headers],[Age]]&lt;21)</f>
        <v>0</v>
      </c>
      <c r="BF17" s="11" t="b" cm="1">
        <f t="array" ref="BF17">OR(Table9[Salary]&gt;10000,Table9[Performance_Rating]&gt;2)</f>
        <v>1</v>
      </c>
      <c r="BG17" s="11" t="b">
        <f>NOT(Table9[[#This Row],[Department]]="IT")</f>
        <v>1</v>
      </c>
      <c r="BH17" s="11" t="b" cm="1">
        <f t="array" ref="BH17">_xlfn.XOR(Table9[Salary]&gt;48000,Table9[Experience_Years]&lt;5)</f>
        <v>1</v>
      </c>
      <c r="BI17" s="11" t="e">
        <f>100/0</f>
        <v>#DIV/0!</v>
      </c>
      <c r="BO17" s="14"/>
    </row>
    <row r="18" spans="1:67" ht="33.75" customHeight="1" x14ac:dyDescent="0.25">
      <c r="A18">
        <v>17</v>
      </c>
      <c r="B18">
        <v>15737452</v>
      </c>
      <c r="C18" t="s">
        <v>83</v>
      </c>
      <c r="D18">
        <v>653</v>
      </c>
      <c r="E18" t="s">
        <v>73</v>
      </c>
      <c r="F18" t="s">
        <v>69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P18">
        <v>132602.88</v>
      </c>
      <c r="Q18">
        <v>1</v>
      </c>
      <c r="R18">
        <v>0</v>
      </c>
      <c r="S18">
        <v>1</v>
      </c>
      <c r="T18">
        <v>1</v>
      </c>
      <c r="U18">
        <v>0.66666666699999999</v>
      </c>
      <c r="V18">
        <v>137700.54999999999</v>
      </c>
      <c r="W18">
        <v>7211</v>
      </c>
      <c r="X18" t="s">
        <v>70</v>
      </c>
      <c r="Y18" t="s">
        <v>74</v>
      </c>
      <c r="Z18">
        <v>4</v>
      </c>
      <c r="AC18" s="4" t="s">
        <v>111</v>
      </c>
      <c r="AD18" s="4" t="s">
        <v>108</v>
      </c>
      <c r="AE18" s="4" t="s">
        <v>125</v>
      </c>
      <c r="AF18" s="4" t="s">
        <v>112</v>
      </c>
      <c r="AG18" s="4" t="s">
        <v>113</v>
      </c>
      <c r="AN18" t="s">
        <v>154</v>
      </c>
      <c r="AO18" t="s">
        <v>155</v>
      </c>
      <c r="AP18">
        <v>35</v>
      </c>
      <c r="AQ18">
        <f>IF(Table9[[#This Row],[Gender]]="MALE",0,1)</f>
        <v>1</v>
      </c>
      <c r="AR18" t="s">
        <v>41</v>
      </c>
      <c r="AS18" t="s">
        <v>156</v>
      </c>
      <c r="AT18" t="s">
        <v>157</v>
      </c>
      <c r="AU18">
        <v>70000</v>
      </c>
      <c r="AV18">
        <v>9</v>
      </c>
      <c r="AW18">
        <v>5</v>
      </c>
      <c r="AX18" t="s">
        <v>158</v>
      </c>
      <c r="BC18" s="11" t="str">
        <f>IF(Table9[[#This Row],[Age]]&gt;21,"EMPLOYEE","TRAINEE")</f>
        <v>EMPLOYEE</v>
      </c>
      <c r="BD18" s="11" t="str" cm="1">
        <f t="array" ref="BD18">_xlfn.IFS(AU16&lt;50000,"40k-5Ok",AU16&lt;60000,"50k",AU16&lt;70000,"60k-70k",AU16&lt;10000,"80k-1LAKH")</f>
        <v>60k-70k</v>
      </c>
      <c r="BE18" s="11" t="b">
        <f>AND(Table9[[#Headers],[Age]]&gt;21,Table9[[#Headers],[Performance_Rating]]&gt;4)</f>
        <v>1</v>
      </c>
      <c r="BF18" s="11" t="b" cm="1">
        <f t="array" ref="BF18">OR(Table9[Salary]&gt;10000,Table9[Performance_Rating]&lt;2)</f>
        <v>1</v>
      </c>
      <c r="BG18" s="11" t="b">
        <f>NOT(Table9[[#This Row],[Department]]="IT")</f>
        <v>1</v>
      </c>
      <c r="BH18" s="11" t="b" cm="1">
        <f t="array" ref="BH18">_xlfn.XOR(Table9[Salary]&gt;48000,Table9[Experience_Years]&lt;1)</f>
        <v>0</v>
      </c>
      <c r="BI18" s="11" t="e">
        <f>VLOOKUP("EMP100",A2:J11,2,FALSE)</f>
        <v>#N/A</v>
      </c>
      <c r="BO18" s="14"/>
    </row>
    <row r="19" spans="1:67" ht="15.75" x14ac:dyDescent="0.25">
      <c r="A19">
        <v>18</v>
      </c>
      <c r="B19">
        <v>15788218</v>
      </c>
      <c r="C19" t="s">
        <v>84</v>
      </c>
      <c r="D19">
        <v>549</v>
      </c>
      <c r="E19" t="s">
        <v>51</v>
      </c>
      <c r="F19" t="s">
        <v>41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P19">
        <v>0</v>
      </c>
      <c r="Q19">
        <v>3</v>
      </c>
      <c r="R19">
        <v>1</v>
      </c>
      <c r="S19">
        <v>2</v>
      </c>
      <c r="T19">
        <v>1</v>
      </c>
      <c r="U19">
        <v>1.3333333329999999</v>
      </c>
      <c r="V19">
        <v>14406.41</v>
      </c>
      <c r="W19">
        <v>4437</v>
      </c>
      <c r="X19" t="s">
        <v>42</v>
      </c>
      <c r="Y19" t="s">
        <v>52</v>
      </c>
      <c r="Z19">
        <v>6</v>
      </c>
      <c r="AC19" s="1">
        <v>46174</v>
      </c>
      <c r="AD19" t="s">
        <v>114</v>
      </c>
      <c r="AE19" t="s">
        <v>116</v>
      </c>
      <c r="AF19">
        <v>100</v>
      </c>
      <c r="AG19" t="s">
        <v>58</v>
      </c>
      <c r="AI19" s="4" t="s">
        <v>123</v>
      </c>
      <c r="AJ19" s="4" t="s">
        <v>19</v>
      </c>
      <c r="AN19" t="s">
        <v>159</v>
      </c>
      <c r="AO19" t="s">
        <v>160</v>
      </c>
      <c r="AP19">
        <v>30</v>
      </c>
      <c r="AQ19">
        <f>IF(Table9[[#This Row],[Gender]]="MALE",0,1)</f>
        <v>0</v>
      </c>
      <c r="AR19" t="s">
        <v>69</v>
      </c>
      <c r="AS19" t="s">
        <v>141</v>
      </c>
      <c r="AT19" t="s">
        <v>161</v>
      </c>
      <c r="AU19">
        <v>60000</v>
      </c>
      <c r="AV19">
        <v>5</v>
      </c>
      <c r="AW19">
        <v>4</v>
      </c>
      <c r="AX19" t="s">
        <v>162</v>
      </c>
      <c r="BC19" s="11" t="str">
        <f>IF(Table9[[#This Row],[Age]]&gt;21,"EMPLOYEE","TRAINEE")</f>
        <v>EMPLOYEE</v>
      </c>
      <c r="BD19" s="11" t="str" cm="1">
        <f t="array" ref="BD19">_xlfn.IFS(AU17&lt;50000,"40k-5Ok",AU17&lt;60000,"50k",AU17&lt;70000,"60k-70k",AU17&lt;10000,"80k-1LAKH")</f>
        <v>40k-5Ok</v>
      </c>
      <c r="BE19" s="11" t="b">
        <f>AND(Table9[[#Headers],[Age]]&gt;21,Table9[[#Headers],[Performance_Rating]]&gt;3)</f>
        <v>1</v>
      </c>
      <c r="BF19" s="11" t="b" cm="1">
        <f t="array" ref="BF19">OR(Table9[Salary]&gt;10000,Table9[Performance_Rating]&gt;2)</f>
        <v>1</v>
      </c>
      <c r="BG19" s="11" t="b">
        <f>NOT(Table9[[#This Row],[Department]]="IT")</f>
        <v>0</v>
      </c>
      <c r="BH19" s="11" t="b" cm="1">
        <f t="array" ref="BH19">_xlfn.XOR(Table9[Salary]&gt;48000,Table9[Experience_Years]&lt;1)</f>
        <v>0</v>
      </c>
      <c r="BI19" s="11" t="e" cm="1">
        <f t="array" aca="1" ref="BI19" ca="1">SUUM(A1:A10)</f>
        <v>#NAME?</v>
      </c>
      <c r="BK19" s="14"/>
      <c r="BL19" s="14"/>
      <c r="BM19" s="14"/>
      <c r="BN19" s="14"/>
      <c r="BO19" s="14"/>
    </row>
    <row r="20" spans="1:67" x14ac:dyDescent="0.25">
      <c r="A20">
        <v>19</v>
      </c>
      <c r="B20">
        <v>15661507</v>
      </c>
      <c r="C20" t="s">
        <v>85</v>
      </c>
      <c r="D20">
        <v>587</v>
      </c>
      <c r="E20" t="s">
        <v>51</v>
      </c>
      <c r="F20" t="s">
        <v>69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P20">
        <v>0</v>
      </c>
      <c r="Q20">
        <v>2.449489743</v>
      </c>
      <c r="R20">
        <v>0</v>
      </c>
      <c r="S20">
        <v>1</v>
      </c>
      <c r="T20">
        <v>0</v>
      </c>
      <c r="U20">
        <v>0.33333333300000001</v>
      </c>
      <c r="V20">
        <v>158684.81</v>
      </c>
      <c r="W20">
        <v>1886</v>
      </c>
      <c r="X20" t="s">
        <v>70</v>
      </c>
      <c r="Y20" t="s">
        <v>52</v>
      </c>
      <c r="Z20">
        <v>4</v>
      </c>
      <c r="AC20" s="1">
        <v>46174</v>
      </c>
      <c r="AD20" t="s">
        <v>120</v>
      </c>
      <c r="AE20" t="s">
        <v>117</v>
      </c>
      <c r="AF20">
        <v>20</v>
      </c>
      <c r="AG20" t="s">
        <v>121</v>
      </c>
      <c r="AI20" t="s">
        <v>118</v>
      </c>
      <c r="AJ20">
        <f>AVERAGEIF(AE19:AE23,"RED",AF19:AF23)</f>
        <v>37.5</v>
      </c>
      <c r="AN20" t="s">
        <v>163</v>
      </c>
      <c r="AO20" t="s">
        <v>164</v>
      </c>
      <c r="AP20">
        <v>27</v>
      </c>
      <c r="AQ20">
        <f>IF(Table9[[#This Row],[Gender]]="MALE",0,1)</f>
        <v>1</v>
      </c>
      <c r="AR20" t="s">
        <v>41</v>
      </c>
      <c r="AS20" t="s">
        <v>165</v>
      </c>
      <c r="AT20" t="s">
        <v>166</v>
      </c>
      <c r="AU20">
        <v>50000</v>
      </c>
      <c r="AV20">
        <v>3</v>
      </c>
      <c r="AW20">
        <v>4</v>
      </c>
      <c r="AX20" t="s">
        <v>143</v>
      </c>
      <c r="BC20" s="11" t="str">
        <f>IF(Table9[[#This Row],[Age]]&gt;21,"EMPLOYEE","TRAINEE")</f>
        <v>EMPLOYEE</v>
      </c>
      <c r="BD20" s="11" t="e" cm="1">
        <f t="array" ref="BD20">_xlfn.IFS(AU18&lt;=50000,"40k-5Ok",AU18&lt;60000,"50k",AU18&lt;70000,"60k-70k",AU18&lt;10000,"80k-1LAKH")</f>
        <v>#N/A</v>
      </c>
      <c r="BE20" s="11" t="b" cm="1">
        <f t="array" ref="BE20">AND(Table9[Age]&gt;21,Table9[Experience_Years]&lt;3)</f>
        <v>0</v>
      </c>
      <c r="BF20" s="11" t="b" cm="1">
        <f t="array" ref="BF20">OR(Table9[Salary]&gt;10000,Table9[Performance_Rating]&gt;2)</f>
        <v>1</v>
      </c>
      <c r="BG20" s="11" t="b">
        <f>NOT(Table9[[#This Row],[Department]]="IT")</f>
        <v>1</v>
      </c>
      <c r="BH20" s="11" t="b" cm="1">
        <f t="array" ref="BH20">_xlfn.XOR(Table9[Salary]&gt;48000,Table9[Experience_Years]&lt;1)</f>
        <v>0</v>
      </c>
      <c r="BI20" s="11" t="e">
        <f>A1+B1</f>
        <v>#VALUE!</v>
      </c>
    </row>
    <row r="21" spans="1:67" x14ac:dyDescent="0.25">
      <c r="A21">
        <v>20</v>
      </c>
      <c r="B21">
        <v>15568982</v>
      </c>
      <c r="C21" t="s">
        <v>86</v>
      </c>
      <c r="D21">
        <v>726</v>
      </c>
      <c r="E21" t="s">
        <v>40</v>
      </c>
      <c r="F21" t="s">
        <v>41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P21">
        <v>0</v>
      </c>
      <c r="Q21">
        <v>2.449489743</v>
      </c>
      <c r="R21">
        <v>1</v>
      </c>
      <c r="S21">
        <v>2</v>
      </c>
      <c r="T21">
        <v>1</v>
      </c>
      <c r="U21">
        <v>1.3333333329999999</v>
      </c>
      <c r="V21">
        <v>54724.03</v>
      </c>
      <c r="W21">
        <v>4437</v>
      </c>
      <c r="X21" t="s">
        <v>42</v>
      </c>
      <c r="Y21" t="s">
        <v>43</v>
      </c>
      <c r="Z21">
        <v>6</v>
      </c>
      <c r="AC21" s="1">
        <v>46175</v>
      </c>
      <c r="AD21" t="s">
        <v>115</v>
      </c>
      <c r="AE21" t="s">
        <v>118</v>
      </c>
      <c r="AF21">
        <v>30</v>
      </c>
      <c r="AG21" t="s">
        <v>122</v>
      </c>
      <c r="AI21" t="s">
        <v>124</v>
      </c>
      <c r="AJ21">
        <f>AVERAGEIFS(AF19:AF23,AE19:AE23,"RED",AG19:AG23,"AP")</f>
        <v>45</v>
      </c>
      <c r="AN21" t="s">
        <v>167</v>
      </c>
      <c r="AO21" t="s">
        <v>168</v>
      </c>
      <c r="AP21">
        <v>40</v>
      </c>
      <c r="AQ21">
        <f>IF(Table9[[#This Row],[Gender]]="MALE",0,1)</f>
        <v>0</v>
      </c>
      <c r="AR21" t="s">
        <v>69</v>
      </c>
      <c r="AS21" t="s">
        <v>169</v>
      </c>
      <c r="AT21" t="s">
        <v>170</v>
      </c>
      <c r="AU21">
        <v>85000</v>
      </c>
      <c r="AV21">
        <v>15</v>
      </c>
      <c r="AW21">
        <v>5</v>
      </c>
      <c r="AX21" t="s">
        <v>171</v>
      </c>
      <c r="BC21" s="11" t="str">
        <f>IF(Table9[[#This Row],[Age]]&gt;21,"EMPLOYEE","TRAINEE")</f>
        <v>EMPLOYEE</v>
      </c>
      <c r="BD21" s="11" t="str" cm="1">
        <f t="array" ref="BD21">_xlfn.IFS(AU19&lt;50000,"40k-5Ok",AU19&lt;60000,"50k",AU19&lt;70000,"60k-70k",AU19&lt;10000,"80k-1LAKH")</f>
        <v>60k-70k</v>
      </c>
      <c r="BE21" s="11" t="b" cm="1">
        <f t="array" ref="BE21">AND(Table9[Age]&gt;21,Table9[Experience_Years]&lt;3)</f>
        <v>0</v>
      </c>
      <c r="BF21" s="11" t="b" cm="1">
        <f t="array" ref="BF21">OR(Table9[Salary]&gt;10000,Table9[Performance_Rating]&gt;2)</f>
        <v>1</v>
      </c>
      <c r="BG21" s="11" t="b">
        <f>NOT(Table9[[#This Row],[Department]]="IT")</f>
        <v>1</v>
      </c>
      <c r="BH21" s="11" t="b" cm="1">
        <f t="array" ref="BH21">_xlfn.XOR(Table9[Salary]&gt;48000,Table9[Experience_Years]&lt;1)</f>
        <v>0</v>
      </c>
      <c r="BI21" s="11"/>
    </row>
    <row r="22" spans="1:67" x14ac:dyDescent="0.25">
      <c r="A22">
        <v>21</v>
      </c>
      <c r="B22">
        <v>15577657</v>
      </c>
      <c r="C22" t="s">
        <v>87</v>
      </c>
      <c r="D22">
        <v>732</v>
      </c>
      <c r="E22" t="s">
        <v>40</v>
      </c>
      <c r="F22" t="s">
        <v>69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P22">
        <v>0</v>
      </c>
      <c r="Q22">
        <v>2.8284271250000002</v>
      </c>
      <c r="R22">
        <v>1</v>
      </c>
      <c r="S22">
        <v>2</v>
      </c>
      <c r="T22">
        <v>1</v>
      </c>
      <c r="U22">
        <v>1.3333333329999999</v>
      </c>
      <c r="V22">
        <v>170886.17</v>
      </c>
      <c r="W22">
        <v>9390</v>
      </c>
      <c r="X22" t="s">
        <v>70</v>
      </c>
      <c r="Y22" t="s">
        <v>43</v>
      </c>
      <c r="Z22">
        <v>4</v>
      </c>
      <c r="AC22" s="1">
        <v>46176</v>
      </c>
      <c r="AD22" t="s">
        <v>119</v>
      </c>
      <c r="AE22" t="s">
        <v>118</v>
      </c>
      <c r="AF22">
        <v>45</v>
      </c>
      <c r="AG22" t="s">
        <v>58</v>
      </c>
      <c r="AI22" t="s">
        <v>126</v>
      </c>
      <c r="AJ22">
        <f>AVERAGEIFS(AF19:AF23,AE19:AE23,"RED",AG19:AG23,"AP",AD19:AD23,"LAPTOP")</f>
        <v>45</v>
      </c>
      <c r="AN22" t="s">
        <v>172</v>
      </c>
      <c r="AO22" t="s">
        <v>173</v>
      </c>
      <c r="AP22">
        <v>20</v>
      </c>
      <c r="AQ22">
        <f>IF(Table9[[#This Row],[Gender]]="MALE",0,1)</f>
        <v>1</v>
      </c>
      <c r="AR22" t="s">
        <v>41</v>
      </c>
      <c r="AS22" t="s">
        <v>141</v>
      </c>
      <c r="AT22" t="s">
        <v>174</v>
      </c>
      <c r="AU22">
        <v>62000</v>
      </c>
      <c r="AV22">
        <v>4</v>
      </c>
      <c r="AW22">
        <v>4</v>
      </c>
      <c r="AX22" t="s">
        <v>148</v>
      </c>
      <c r="BC22" s="11" t="str">
        <f>IF(Table9[[#This Row],[Age]]&gt;21,"EMPLOYEE","TRAINEE")</f>
        <v>TRAINEE</v>
      </c>
      <c r="BD22" s="11" t="str" cm="1">
        <f t="array" ref="BD22">_xlfn.IFS(AU20&lt;50000,"40k-5Ok",AU20&lt;60000,"50k",AU20&lt;70000,"60k-70k",AU20&lt;10000,"80k-1LAKH")</f>
        <v>50k</v>
      </c>
      <c r="BE22" s="11" t="b" cm="1">
        <f t="array" ref="BE22">AND(Table9[Age]&gt;21,Table9[Experience_Years]&lt;3)</f>
        <v>0</v>
      </c>
      <c r="BF22" s="11" t="b" cm="1">
        <f t="array" ref="BF22">OR(Table9[Salary]&gt;10000,Table9[Performance_Rating]&gt;2)</f>
        <v>1</v>
      </c>
      <c r="BG22" s="11" t="b">
        <f>NOT(Table9[[#This Row],[Department]]="IT")</f>
        <v>0</v>
      </c>
      <c r="BH22" s="11" t="b" cm="1">
        <f t="array" ref="BH22">_xlfn.XOR(Table9[Salary]&gt;48000,Table9[Experience_Years]&lt;1)</f>
        <v>0</v>
      </c>
      <c r="BI22" s="11"/>
    </row>
    <row r="23" spans="1:67" x14ac:dyDescent="0.25">
      <c r="A23">
        <v>22</v>
      </c>
      <c r="B23">
        <v>15597945</v>
      </c>
      <c r="C23" t="s">
        <v>88</v>
      </c>
      <c r="D23">
        <v>636</v>
      </c>
      <c r="E23" t="s">
        <v>51</v>
      </c>
      <c r="F23" t="s">
        <v>41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P23">
        <v>0</v>
      </c>
      <c r="Q23">
        <v>2.8284271250000002</v>
      </c>
      <c r="R23">
        <v>0</v>
      </c>
      <c r="S23">
        <v>2</v>
      </c>
      <c r="T23">
        <v>1</v>
      </c>
      <c r="U23">
        <v>1</v>
      </c>
      <c r="V23">
        <v>138555.46</v>
      </c>
      <c r="W23">
        <v>5392</v>
      </c>
      <c r="X23" t="s">
        <v>42</v>
      </c>
      <c r="Y23" t="s">
        <v>52</v>
      </c>
      <c r="Z23">
        <v>6</v>
      </c>
      <c r="AC23" s="1">
        <v>46177</v>
      </c>
      <c r="AD23" t="s">
        <v>120</v>
      </c>
      <c r="AE23" t="s">
        <v>117</v>
      </c>
      <c r="AF23">
        <v>61</v>
      </c>
      <c r="AG23" t="s">
        <v>121</v>
      </c>
      <c r="AN23" t="s">
        <v>175</v>
      </c>
      <c r="AO23" t="s">
        <v>176</v>
      </c>
      <c r="AP23">
        <v>31</v>
      </c>
      <c r="AQ23">
        <f>IF(Table9[[#This Row],[Gender]]="MALE",0,1)</f>
        <v>0</v>
      </c>
      <c r="AR23" t="s">
        <v>69</v>
      </c>
      <c r="AS23" t="s">
        <v>151</v>
      </c>
      <c r="AT23" t="s">
        <v>177</v>
      </c>
      <c r="AU23">
        <v>75000</v>
      </c>
      <c r="AV23">
        <v>8</v>
      </c>
      <c r="AW23">
        <v>5</v>
      </c>
      <c r="AX23" t="s">
        <v>153</v>
      </c>
      <c r="BC23" s="11" t="str">
        <f>IF(Table9[[#This Row],[Age]]&gt;21,"EMPLOYEE","TRAINEE")</f>
        <v>EMPLOYEE</v>
      </c>
      <c r="BD23" s="11" t="e" cm="1">
        <f t="array" ref="BD23">_xlfn.IFS(AU21&lt;45000,"40k-5Ok",AU21&lt;60000,"60k-70k",AU21&lt;80000,"70k-80")</f>
        <v>#N/A</v>
      </c>
      <c r="BE23" s="11" t="b" cm="1">
        <f t="array" ref="BE23">AND(Table9[Age]&gt;21,Table9[Experience_Years]&lt;3)</f>
        <v>0</v>
      </c>
      <c r="BF23" s="11" t="b" cm="1">
        <f t="array" ref="BF23">OR(Table9[Salary]&gt;10000,Table9[Performance_Rating]&gt;2)</f>
        <v>1</v>
      </c>
      <c r="BG23" s="11" t="b">
        <f>NOT(Table9[[#This Row],[Department]]="IT")</f>
        <v>1</v>
      </c>
      <c r="BH23" s="11" t="b" cm="1">
        <f t="array" ref="BH23">_xlfn.XOR(Table9[Salary]&gt;48000,Table9[Experience_Years]&lt;1)</f>
        <v>0</v>
      </c>
      <c r="BI23" s="11"/>
    </row>
    <row r="24" spans="1:67" ht="15.75" thickBot="1" x14ac:dyDescent="0.3">
      <c r="A24">
        <v>23</v>
      </c>
      <c r="B24">
        <v>15699309</v>
      </c>
      <c r="C24" t="s">
        <v>89</v>
      </c>
      <c r="D24">
        <v>510</v>
      </c>
      <c r="E24" t="s">
        <v>51</v>
      </c>
      <c r="F24" t="s">
        <v>41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P24">
        <v>0</v>
      </c>
      <c r="Q24">
        <v>2</v>
      </c>
      <c r="R24">
        <v>0</v>
      </c>
      <c r="S24">
        <v>1</v>
      </c>
      <c r="T24">
        <v>1</v>
      </c>
      <c r="U24">
        <v>0.66666666699999999</v>
      </c>
      <c r="V24">
        <v>118913.53</v>
      </c>
      <c r="W24">
        <v>2341</v>
      </c>
      <c r="X24" t="s">
        <v>42</v>
      </c>
      <c r="Y24" t="s">
        <v>52</v>
      </c>
      <c r="Z24">
        <v>6</v>
      </c>
      <c r="AE24" s="2" t="s">
        <v>123</v>
      </c>
      <c r="AF24">
        <f>SUM(AF19:AF23)</f>
        <v>256</v>
      </c>
      <c r="AN24" t="s">
        <v>178</v>
      </c>
      <c r="AO24" t="s">
        <v>179</v>
      </c>
      <c r="AP24">
        <v>25</v>
      </c>
      <c r="AQ24">
        <f>IF(Table9[[#This Row],[Gender]]="MALE",0,1)</f>
        <v>1</v>
      </c>
      <c r="AR24" t="s">
        <v>41</v>
      </c>
      <c r="AS24" t="s">
        <v>180</v>
      </c>
      <c r="AT24" t="s">
        <v>181</v>
      </c>
      <c r="AU24">
        <v>40000</v>
      </c>
      <c r="AV24">
        <v>1</v>
      </c>
      <c r="AW24">
        <v>3</v>
      </c>
      <c r="AX24" t="s">
        <v>182</v>
      </c>
      <c r="BC24" s="12" t="str">
        <f>IF(Table9[[#This Row],[Age]]&gt;21,"EMPLOYEE","TRAINEE")</f>
        <v>EMPLOYEE</v>
      </c>
      <c r="BD24" s="12" t="str" cm="1">
        <f t="array" ref="BD24">_xlfn.IFS(AU22&lt;50000,"40k-5Ok",AU22&lt;60000,"50k",AU22&lt;70000,"60k-70k",AU22&lt;10000,"80k-1LAKH")</f>
        <v>60k-70k</v>
      </c>
      <c r="BE24" s="12" t="b" cm="1">
        <f t="array" ref="BE24">AND(Table9[Age]&gt;21,Table9[Experience_Years]&lt;3)</f>
        <v>0</v>
      </c>
      <c r="BF24" s="12" t="b" cm="1">
        <f t="array" ref="BF24">OR(Table9[Salary]&gt;10000,Table9[Performance_Rating]&gt;2)</f>
        <v>1</v>
      </c>
      <c r="BG24" s="12" t="b">
        <f>NOT(Table9[[#This Row],[Department]]="IT")</f>
        <v>1</v>
      </c>
      <c r="BH24" s="12" t="b" cm="1">
        <f t="array" ref="BH24">_xlfn.XOR(Table9[Salary]&gt;48000,Table9[Experience_Years]&lt;1)</f>
        <v>0</v>
      </c>
      <c r="BI24" s="12"/>
    </row>
    <row r="25" spans="1:67" ht="15.75" thickBot="1" x14ac:dyDescent="0.3">
      <c r="A25">
        <v>24</v>
      </c>
      <c r="B25">
        <v>15725737</v>
      </c>
      <c r="C25" t="s">
        <v>90</v>
      </c>
      <c r="D25">
        <v>669</v>
      </c>
      <c r="E25" t="s">
        <v>40</v>
      </c>
      <c r="F25" t="s">
        <v>69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P25">
        <v>0</v>
      </c>
      <c r="Q25">
        <v>1.7320508080000001</v>
      </c>
      <c r="R25">
        <v>0</v>
      </c>
      <c r="S25">
        <v>2</v>
      </c>
      <c r="T25">
        <v>1</v>
      </c>
      <c r="U25">
        <v>1</v>
      </c>
      <c r="V25">
        <v>8487.75</v>
      </c>
      <c r="W25">
        <v>2598</v>
      </c>
      <c r="X25" t="s">
        <v>70</v>
      </c>
      <c r="Y25" t="s">
        <v>43</v>
      </c>
      <c r="Z25">
        <v>4</v>
      </c>
      <c r="AE25" s="2" t="s">
        <v>118</v>
      </c>
      <c r="AF25">
        <f>SUMIF(AE19:AE23,"RED",AF19:AF23)</f>
        <v>75</v>
      </c>
    </row>
    <row r="26" spans="1:67" ht="21.75" thickBot="1" x14ac:dyDescent="0.4">
      <c r="A26">
        <v>25</v>
      </c>
      <c r="B26">
        <v>15625047</v>
      </c>
      <c r="C26" t="s">
        <v>91</v>
      </c>
      <c r="D26">
        <v>846</v>
      </c>
      <c r="E26" t="s">
        <v>40</v>
      </c>
      <c r="F26" t="s">
        <v>41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P26">
        <v>0</v>
      </c>
      <c r="Q26">
        <v>2.2360679769999998</v>
      </c>
      <c r="R26">
        <v>1</v>
      </c>
      <c r="S26">
        <v>1</v>
      </c>
      <c r="T26">
        <v>1</v>
      </c>
      <c r="U26">
        <v>1</v>
      </c>
      <c r="V26">
        <v>187616.16</v>
      </c>
      <c r="W26">
        <v>8360</v>
      </c>
      <c r="X26" t="s">
        <v>42</v>
      </c>
      <c r="Y26" t="s">
        <v>43</v>
      </c>
      <c r="Z26">
        <v>6</v>
      </c>
      <c r="AE26" s="2" t="s">
        <v>124</v>
      </c>
      <c r="AF26">
        <f>SUMIFS(AF19:AF23,AE19:AE23,"RED",AG19:AG23,"AP")</f>
        <v>45</v>
      </c>
      <c r="BB26" s="9" t="s">
        <v>205</v>
      </c>
      <c r="BC26" s="7"/>
    </row>
    <row r="27" spans="1:67" ht="15.75" thickBot="1" x14ac:dyDescent="0.3">
      <c r="A27">
        <v>26</v>
      </c>
      <c r="B27">
        <v>15738191</v>
      </c>
      <c r="C27" t="s">
        <v>92</v>
      </c>
      <c r="D27">
        <v>577</v>
      </c>
      <c r="E27" t="s">
        <v>40</v>
      </c>
      <c r="F27" t="s">
        <v>69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P27">
        <v>0</v>
      </c>
      <c r="Q27">
        <v>1.7320508080000001</v>
      </c>
      <c r="R27">
        <v>0</v>
      </c>
      <c r="S27">
        <v>2</v>
      </c>
      <c r="T27">
        <v>1</v>
      </c>
      <c r="U27">
        <v>1</v>
      </c>
      <c r="V27">
        <v>124508.29</v>
      </c>
      <c r="W27">
        <v>4014</v>
      </c>
      <c r="X27" t="s">
        <v>70</v>
      </c>
      <c r="Y27" t="s">
        <v>43</v>
      </c>
      <c r="Z27">
        <v>4</v>
      </c>
      <c r="AE27" s="3" t="s">
        <v>126</v>
      </c>
      <c r="AG27">
        <f>SUMIFS(AF19:AF23,AE19:AE23,"RED",AG19:AG23,"AP",AD19:AD23,"LAPTOP")</f>
        <v>45</v>
      </c>
      <c r="AN27" t="s">
        <v>183</v>
      </c>
      <c r="AO27" t="s">
        <v>185</v>
      </c>
      <c r="AP27" t="s">
        <v>187</v>
      </c>
      <c r="AR27" t="s">
        <v>186</v>
      </c>
      <c r="AS27" t="s">
        <v>188</v>
      </c>
    </row>
    <row r="28" spans="1:67" ht="15.75" thickBot="1" x14ac:dyDescent="0.3">
      <c r="A28">
        <v>27</v>
      </c>
      <c r="B28">
        <v>15736816</v>
      </c>
      <c r="C28" t="s">
        <v>93</v>
      </c>
      <c r="D28">
        <v>756</v>
      </c>
      <c r="E28" t="s">
        <v>73</v>
      </c>
      <c r="F28" t="s">
        <v>69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P28">
        <v>136815.64000000001</v>
      </c>
      <c r="Q28">
        <v>1.414213562</v>
      </c>
      <c r="R28">
        <v>1</v>
      </c>
      <c r="S28">
        <v>1</v>
      </c>
      <c r="T28">
        <v>1</v>
      </c>
      <c r="U28">
        <v>1</v>
      </c>
      <c r="V28">
        <v>306857.59000000003</v>
      </c>
      <c r="W28">
        <v>5392</v>
      </c>
      <c r="X28" t="s">
        <v>70</v>
      </c>
      <c r="Y28" t="s">
        <v>74</v>
      </c>
      <c r="Z28">
        <v>4</v>
      </c>
      <c r="AN28" t="str">
        <f>VLOOKUP(AO17,AO14:AU24,6,0)</f>
        <v>Sales Executive</v>
      </c>
      <c r="AO28">
        <f>MATCH(AO21,AO15:AO24,)</f>
        <v>7</v>
      </c>
      <c r="AP28" t="str">
        <f>_xlfn.XLOOKUP(AO18,AO15:AO24,AT15:AT24)</f>
        <v>Financial Analyst</v>
      </c>
      <c r="AR28" t="str">
        <f>INDEX(AS15:AS24,3)</f>
        <v>Sales</v>
      </c>
      <c r="AS28" t="str">
        <f>INDEX(AN33:AX33,4)</f>
        <v>Arjun Kumar</v>
      </c>
      <c r="BB28" t="s">
        <v>35</v>
      </c>
      <c r="BC28" s="7" t="s">
        <v>31</v>
      </c>
      <c r="BD28" t="s">
        <v>32</v>
      </c>
      <c r="BE28" t="s">
        <v>33</v>
      </c>
      <c r="BF28" t="s">
        <v>34</v>
      </c>
    </row>
    <row r="29" spans="1:67" x14ac:dyDescent="0.25">
      <c r="A29">
        <v>28</v>
      </c>
      <c r="B29">
        <v>15700772</v>
      </c>
      <c r="C29" t="s">
        <v>94</v>
      </c>
      <c r="D29">
        <v>571</v>
      </c>
      <c r="E29" t="s">
        <v>40</v>
      </c>
      <c r="F29" t="s">
        <v>69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P29">
        <v>0</v>
      </c>
      <c r="Q29">
        <v>3</v>
      </c>
      <c r="R29">
        <v>0</v>
      </c>
      <c r="S29">
        <v>2</v>
      </c>
      <c r="T29">
        <v>0</v>
      </c>
      <c r="U29">
        <v>0.66666666699999999</v>
      </c>
      <c r="V29">
        <v>38433.35</v>
      </c>
      <c r="W29">
        <v>3216</v>
      </c>
      <c r="X29" t="s">
        <v>70</v>
      </c>
      <c r="Y29" t="s">
        <v>43</v>
      </c>
      <c r="Z29">
        <v>4</v>
      </c>
      <c r="AN29">
        <f>VLOOKUP(AO18,Table9[],3)</f>
        <v>25</v>
      </c>
      <c r="AO29">
        <f>MATCH(AS19,AS15:AS24)</f>
        <v>5</v>
      </c>
      <c r="AP29">
        <f>_xlfn.XLOOKUP(AO21,Table9[Name],Table9[Salary])</f>
        <v>85000</v>
      </c>
      <c r="BB29" s="8" t="s">
        <v>196</v>
      </c>
      <c r="BC29" s="8" t="s">
        <v>197</v>
      </c>
      <c r="BD29" s="8" t="s">
        <v>198</v>
      </c>
      <c r="BE29" s="8" t="s">
        <v>199</v>
      </c>
      <c r="BF29" s="8" t="s">
        <v>200</v>
      </c>
    </row>
    <row r="30" spans="1:67" x14ac:dyDescent="0.25">
      <c r="A30">
        <v>29</v>
      </c>
      <c r="B30">
        <v>15728693</v>
      </c>
      <c r="C30" t="s">
        <v>95</v>
      </c>
      <c r="D30">
        <v>574</v>
      </c>
      <c r="E30" t="s">
        <v>73</v>
      </c>
      <c r="F30" t="s">
        <v>41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P30">
        <v>141349.43</v>
      </c>
      <c r="Q30">
        <v>1.7320508080000001</v>
      </c>
      <c r="R30">
        <v>1</v>
      </c>
      <c r="S30">
        <v>1</v>
      </c>
      <c r="T30">
        <v>1</v>
      </c>
      <c r="U30">
        <v>1</v>
      </c>
      <c r="V30">
        <v>241536.86</v>
      </c>
      <c r="W30">
        <v>2895</v>
      </c>
      <c r="X30" t="s">
        <v>42</v>
      </c>
      <c r="Y30" t="s">
        <v>74</v>
      </c>
      <c r="Z30">
        <v>6</v>
      </c>
      <c r="BB30">
        <f>COUNT(Table9[Age])</f>
        <v>10</v>
      </c>
      <c r="BC30">
        <f>COUNTBLANK(AN14:AX24)</f>
        <v>0</v>
      </c>
      <c r="BD30">
        <f>COUNTA(Table9[Job_Role],Table9[Age])</f>
        <v>20</v>
      </c>
      <c r="BE30">
        <f>COUNTIF(Table9[Name],"PRIYA REDDY")</f>
        <v>1</v>
      </c>
      <c r="BF30">
        <f>COUNTIF(AS16:AS24,"IT")</f>
        <v>2</v>
      </c>
    </row>
    <row r="31" spans="1:67" x14ac:dyDescent="0.25">
      <c r="A31">
        <v>30</v>
      </c>
      <c r="B31">
        <v>15656300</v>
      </c>
      <c r="C31" t="s">
        <v>96</v>
      </c>
      <c r="D31">
        <v>411</v>
      </c>
      <c r="E31" t="s">
        <v>40</v>
      </c>
      <c r="F31" t="s">
        <v>69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P31">
        <v>59697.17</v>
      </c>
      <c r="Q31">
        <v>0</v>
      </c>
      <c r="R31">
        <v>1</v>
      </c>
      <c r="S31">
        <v>2</v>
      </c>
      <c r="T31">
        <v>1</v>
      </c>
      <c r="U31">
        <v>1.3333333329999999</v>
      </c>
      <c r="V31">
        <v>113180.38</v>
      </c>
      <c r="W31">
        <v>8360</v>
      </c>
      <c r="X31" t="s">
        <v>70</v>
      </c>
      <c r="Y31" t="s">
        <v>43</v>
      </c>
      <c r="Z31">
        <v>4</v>
      </c>
    </row>
    <row r="32" spans="1:67" x14ac:dyDescent="0.25">
      <c r="A32">
        <v>31</v>
      </c>
      <c r="B32">
        <v>15589475</v>
      </c>
      <c r="C32" t="s">
        <v>97</v>
      </c>
      <c r="D32">
        <v>591</v>
      </c>
      <c r="E32" t="s">
        <v>51</v>
      </c>
      <c r="F32" t="s">
        <v>41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P32">
        <v>0</v>
      </c>
      <c r="Q32">
        <v>1.7320508080000001</v>
      </c>
      <c r="R32">
        <v>0</v>
      </c>
      <c r="S32">
        <v>3</v>
      </c>
      <c r="T32">
        <v>1</v>
      </c>
      <c r="U32">
        <v>1.3333333329999999</v>
      </c>
      <c r="V32">
        <v>140469.38</v>
      </c>
      <c r="W32">
        <v>2112</v>
      </c>
      <c r="X32" t="s">
        <v>42</v>
      </c>
      <c r="Y32" t="s">
        <v>52</v>
      </c>
      <c r="Z32">
        <v>6</v>
      </c>
      <c r="AN32" t="s">
        <v>131</v>
      </c>
      <c r="AO32" t="s">
        <v>139</v>
      </c>
      <c r="AP32" t="s">
        <v>144</v>
      </c>
      <c r="AQ32" t="s">
        <v>149</v>
      </c>
      <c r="AR32" t="s">
        <v>154</v>
      </c>
      <c r="AS32" t="s">
        <v>159</v>
      </c>
      <c r="AT32" t="s">
        <v>163</v>
      </c>
      <c r="AU32" t="s">
        <v>167</v>
      </c>
      <c r="AV32" t="s">
        <v>172</v>
      </c>
      <c r="AW32" t="s">
        <v>175</v>
      </c>
      <c r="AX32" t="s">
        <v>178</v>
      </c>
      <c r="BB32" s="8" t="s">
        <v>201</v>
      </c>
      <c r="BC32" s="8" t="s">
        <v>18</v>
      </c>
      <c r="BD32" s="8" t="s">
        <v>202</v>
      </c>
      <c r="BE32" s="8" t="s">
        <v>204</v>
      </c>
      <c r="BF32" s="8" t="s">
        <v>203</v>
      </c>
      <c r="BG32" s="8" t="s">
        <v>206</v>
      </c>
      <c r="BH32" s="8" t="s">
        <v>207</v>
      </c>
      <c r="BI32" s="8" t="s">
        <v>208</v>
      </c>
    </row>
    <row r="33" spans="1:61" x14ac:dyDescent="0.25">
      <c r="A33">
        <v>32</v>
      </c>
      <c r="B33">
        <v>15706552</v>
      </c>
      <c r="C33" t="s">
        <v>98</v>
      </c>
      <c r="D33">
        <v>533</v>
      </c>
      <c r="E33" t="s">
        <v>40</v>
      </c>
      <c r="F33" t="s">
        <v>69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P33">
        <v>85311.7</v>
      </c>
      <c r="Q33">
        <v>2.6457513110000002</v>
      </c>
      <c r="R33">
        <v>0</v>
      </c>
      <c r="S33">
        <v>1</v>
      </c>
      <c r="T33">
        <v>1</v>
      </c>
      <c r="U33">
        <v>0.66666666699999999</v>
      </c>
      <c r="V33">
        <v>242043.61</v>
      </c>
      <c r="W33">
        <v>7629</v>
      </c>
      <c r="X33" t="s">
        <v>70</v>
      </c>
      <c r="Y33" t="s">
        <v>43</v>
      </c>
      <c r="Z33">
        <v>4</v>
      </c>
      <c r="AN33" t="s">
        <v>132</v>
      </c>
      <c r="AO33" t="s">
        <v>140</v>
      </c>
      <c r="AP33" t="s">
        <v>145</v>
      </c>
      <c r="AQ33" t="s">
        <v>150</v>
      </c>
      <c r="AR33" t="s">
        <v>155</v>
      </c>
      <c r="AS33" t="s">
        <v>160</v>
      </c>
      <c r="AT33" t="s">
        <v>164</v>
      </c>
      <c r="AU33" t="s">
        <v>168</v>
      </c>
      <c r="AV33" t="s">
        <v>173</v>
      </c>
      <c r="AW33" t="s">
        <v>176</v>
      </c>
      <c r="AX33" t="s">
        <v>179</v>
      </c>
      <c r="BB33">
        <f>AVERAGE(Table9[Salary])</f>
        <v>60700</v>
      </c>
      <c r="BC33">
        <f>MEDIAN(Table9[Salary])</f>
        <v>61000</v>
      </c>
      <c r="BD33">
        <f>MODE(Table9[Performance_Rating])</f>
        <v>4</v>
      </c>
      <c r="BE33">
        <f>STDEV(Table9[Salary])</f>
        <v>13840.761058072878</v>
      </c>
      <c r="BF33">
        <f>VAR(Table9[Age],Table9[Salary])</f>
        <v>1059405726.431579</v>
      </c>
      <c r="BG33">
        <f>_xlfn.STDEV.P(AU15,AU16)</f>
        <v>5000</v>
      </c>
      <c r="BH33">
        <f>_xlfn.STDEV.P(AU17,AU18)</f>
        <v>12500</v>
      </c>
      <c r="BI33">
        <f>_xlfn.VAR.P(A28)</f>
        <v>0</v>
      </c>
    </row>
    <row r="34" spans="1:61" x14ac:dyDescent="0.25">
      <c r="A34">
        <v>33</v>
      </c>
      <c r="B34">
        <v>15750181</v>
      </c>
      <c r="C34" t="s">
        <v>99</v>
      </c>
      <c r="D34">
        <v>553</v>
      </c>
      <c r="E34" t="s">
        <v>73</v>
      </c>
      <c r="F34" t="s">
        <v>69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P34">
        <v>110112.54</v>
      </c>
      <c r="Q34">
        <v>3</v>
      </c>
      <c r="R34">
        <v>0</v>
      </c>
      <c r="S34">
        <v>2</v>
      </c>
      <c r="T34">
        <v>0</v>
      </c>
      <c r="U34">
        <v>0.66666666699999999</v>
      </c>
      <c r="V34">
        <v>192011.35</v>
      </c>
      <c r="W34">
        <v>6769</v>
      </c>
      <c r="X34" t="s">
        <v>70</v>
      </c>
      <c r="Y34" t="s">
        <v>74</v>
      </c>
      <c r="Z34">
        <v>4</v>
      </c>
      <c r="AN34" t="s">
        <v>6</v>
      </c>
      <c r="AO34">
        <v>28</v>
      </c>
      <c r="AP34">
        <v>32</v>
      </c>
      <c r="AQ34">
        <v>26</v>
      </c>
      <c r="AR34">
        <v>35</v>
      </c>
      <c r="AS34">
        <v>30</v>
      </c>
      <c r="AT34">
        <v>27</v>
      </c>
      <c r="AU34">
        <v>40</v>
      </c>
      <c r="AV34">
        <v>29</v>
      </c>
      <c r="AW34">
        <v>31</v>
      </c>
      <c r="AX34">
        <v>25</v>
      </c>
    </row>
    <row r="35" spans="1:61" x14ac:dyDescent="0.25">
      <c r="A35">
        <v>34</v>
      </c>
      <c r="B35">
        <v>15659428</v>
      </c>
      <c r="C35" t="s">
        <v>100</v>
      </c>
      <c r="D35">
        <v>520</v>
      </c>
      <c r="E35" t="s">
        <v>51</v>
      </c>
      <c r="F35" t="s">
        <v>41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P35">
        <v>0</v>
      </c>
      <c r="Q35">
        <v>2.449489743</v>
      </c>
      <c r="R35">
        <v>1</v>
      </c>
      <c r="S35">
        <v>2</v>
      </c>
      <c r="T35">
        <v>1</v>
      </c>
      <c r="U35">
        <v>1.3333333329999999</v>
      </c>
      <c r="V35">
        <v>34410.550000000003</v>
      </c>
      <c r="W35">
        <v>5392</v>
      </c>
      <c r="X35" t="s">
        <v>42</v>
      </c>
      <c r="Y35" t="s">
        <v>52</v>
      </c>
      <c r="Z35">
        <v>6</v>
      </c>
      <c r="AN35" t="s">
        <v>5</v>
      </c>
      <c r="AO35" t="s">
        <v>69</v>
      </c>
      <c r="AP35" t="s">
        <v>41</v>
      </c>
      <c r="AQ35" t="s">
        <v>69</v>
      </c>
      <c r="AR35" t="s">
        <v>41</v>
      </c>
      <c r="AS35" t="s">
        <v>69</v>
      </c>
      <c r="AT35" t="s">
        <v>41</v>
      </c>
      <c r="AU35" t="s">
        <v>69</v>
      </c>
      <c r="AV35" t="s">
        <v>41</v>
      </c>
      <c r="AW35" t="s">
        <v>69</v>
      </c>
      <c r="AX35" t="s">
        <v>41</v>
      </c>
      <c r="BB35" t="s">
        <v>210</v>
      </c>
    </row>
    <row r="36" spans="1:61" x14ac:dyDescent="0.25">
      <c r="A36">
        <v>35</v>
      </c>
      <c r="B36">
        <v>15732963</v>
      </c>
      <c r="C36" t="s">
        <v>101</v>
      </c>
      <c r="D36">
        <v>722</v>
      </c>
      <c r="E36" t="s">
        <v>51</v>
      </c>
      <c r="F36" t="s">
        <v>41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P36">
        <v>0</v>
      </c>
      <c r="Q36">
        <v>3</v>
      </c>
      <c r="R36">
        <v>1</v>
      </c>
      <c r="S36">
        <v>2</v>
      </c>
      <c r="T36">
        <v>1</v>
      </c>
      <c r="U36">
        <v>1.3333333329999999</v>
      </c>
      <c r="V36">
        <v>142033.07</v>
      </c>
      <c r="W36">
        <v>3216</v>
      </c>
      <c r="X36" t="s">
        <v>42</v>
      </c>
      <c r="Y36" t="s">
        <v>52</v>
      </c>
      <c r="Z36">
        <v>6</v>
      </c>
      <c r="AN36" t="s">
        <v>133</v>
      </c>
      <c r="AO36" t="s">
        <v>141</v>
      </c>
      <c r="AP36" t="s">
        <v>146</v>
      </c>
      <c r="AQ36" t="s">
        <v>151</v>
      </c>
      <c r="AR36" t="s">
        <v>156</v>
      </c>
      <c r="AS36" t="s">
        <v>141</v>
      </c>
      <c r="AT36" t="s">
        <v>165</v>
      </c>
      <c r="AU36" t="s">
        <v>169</v>
      </c>
      <c r="AV36" t="s">
        <v>141</v>
      </c>
      <c r="AW36" t="s">
        <v>151</v>
      </c>
      <c r="AX36" t="s">
        <v>180</v>
      </c>
      <c r="BB36" s="8" t="s">
        <v>202</v>
      </c>
    </row>
    <row r="37" spans="1:61" x14ac:dyDescent="0.25">
      <c r="A37">
        <v>36</v>
      </c>
      <c r="B37">
        <v>15794171</v>
      </c>
      <c r="C37" t="s">
        <v>102</v>
      </c>
      <c r="D37">
        <v>475</v>
      </c>
      <c r="E37" t="s">
        <v>40</v>
      </c>
      <c r="F37" t="s">
        <v>41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P37">
        <v>134264.04</v>
      </c>
      <c r="Q37">
        <v>0</v>
      </c>
      <c r="R37">
        <v>0</v>
      </c>
      <c r="S37">
        <v>1</v>
      </c>
      <c r="T37">
        <v>1</v>
      </c>
      <c r="U37">
        <v>0.66666666699999999</v>
      </c>
      <c r="V37">
        <v>162087.03</v>
      </c>
      <c r="W37">
        <v>3582</v>
      </c>
      <c r="X37" t="s">
        <v>42</v>
      </c>
      <c r="Y37" t="s">
        <v>43</v>
      </c>
      <c r="Z37">
        <v>6</v>
      </c>
      <c r="AN37" t="s">
        <v>134</v>
      </c>
      <c r="AO37" t="s">
        <v>142</v>
      </c>
      <c r="AP37" t="s">
        <v>147</v>
      </c>
      <c r="AQ37" t="s">
        <v>152</v>
      </c>
      <c r="AR37" t="s">
        <v>157</v>
      </c>
      <c r="AS37" t="s">
        <v>161</v>
      </c>
      <c r="AT37" t="s">
        <v>166</v>
      </c>
      <c r="AU37" t="s">
        <v>170</v>
      </c>
      <c r="AV37" t="s">
        <v>174</v>
      </c>
      <c r="AW37" t="s">
        <v>177</v>
      </c>
      <c r="AX37" t="s">
        <v>181</v>
      </c>
      <c r="BB37">
        <f>MODE(Table9[Column1])</f>
        <v>0</v>
      </c>
    </row>
    <row r="38" spans="1:61" x14ac:dyDescent="0.25">
      <c r="A38">
        <v>37</v>
      </c>
      <c r="B38">
        <v>15788448</v>
      </c>
      <c r="C38" t="s">
        <v>103</v>
      </c>
      <c r="D38">
        <v>490</v>
      </c>
      <c r="E38" t="s">
        <v>51</v>
      </c>
      <c r="F38" t="s">
        <v>69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P38">
        <v>145260.23000000001</v>
      </c>
      <c r="Q38">
        <v>1.7320508080000001</v>
      </c>
      <c r="R38">
        <v>0</v>
      </c>
      <c r="S38">
        <v>1</v>
      </c>
      <c r="T38">
        <v>1</v>
      </c>
      <c r="U38">
        <v>0.66666666699999999</v>
      </c>
      <c r="V38">
        <v>259327</v>
      </c>
      <c r="W38">
        <v>1143</v>
      </c>
      <c r="X38" t="s">
        <v>70</v>
      </c>
      <c r="Y38" t="s">
        <v>52</v>
      </c>
      <c r="Z38">
        <v>4</v>
      </c>
      <c r="AN38" t="s">
        <v>135</v>
      </c>
      <c r="AO38">
        <v>55000</v>
      </c>
      <c r="AP38">
        <v>65000</v>
      </c>
      <c r="AQ38">
        <v>45000</v>
      </c>
      <c r="AR38">
        <v>70000</v>
      </c>
      <c r="AS38">
        <v>60000</v>
      </c>
      <c r="AT38">
        <v>50000</v>
      </c>
      <c r="AU38">
        <v>85000</v>
      </c>
      <c r="AV38">
        <v>62000</v>
      </c>
      <c r="AW38">
        <v>75000</v>
      </c>
      <c r="AX38">
        <v>40000</v>
      </c>
    </row>
    <row r="39" spans="1:61" x14ac:dyDescent="0.25">
      <c r="A39">
        <v>38</v>
      </c>
      <c r="B39">
        <v>15729599</v>
      </c>
      <c r="C39" t="s">
        <v>104</v>
      </c>
      <c r="D39">
        <v>804</v>
      </c>
      <c r="E39" t="s">
        <v>51</v>
      </c>
      <c r="F39" t="s">
        <v>69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P39">
        <v>76548.600000000006</v>
      </c>
      <c r="Q39">
        <v>2.6457513110000002</v>
      </c>
      <c r="R39">
        <v>0</v>
      </c>
      <c r="S39">
        <v>1</v>
      </c>
      <c r="T39">
        <v>1</v>
      </c>
      <c r="U39">
        <v>0.66666666699999999</v>
      </c>
      <c r="V39">
        <v>175002.05</v>
      </c>
      <c r="W39">
        <v>412</v>
      </c>
      <c r="X39" t="s">
        <v>70</v>
      </c>
      <c r="Y39" t="s">
        <v>52</v>
      </c>
      <c r="Z39">
        <v>4</v>
      </c>
      <c r="AN39" t="s">
        <v>136</v>
      </c>
      <c r="AO39">
        <v>3</v>
      </c>
      <c r="AP39">
        <v>7</v>
      </c>
      <c r="AQ39">
        <v>2</v>
      </c>
      <c r="AR39">
        <v>9</v>
      </c>
      <c r="AS39">
        <v>5</v>
      </c>
      <c r="AT39">
        <v>3</v>
      </c>
      <c r="AU39">
        <v>15</v>
      </c>
      <c r="AV39">
        <v>4</v>
      </c>
      <c r="AW39">
        <v>8</v>
      </c>
      <c r="AX39">
        <v>1</v>
      </c>
    </row>
    <row r="40" spans="1:61" x14ac:dyDescent="0.25">
      <c r="A40">
        <v>39</v>
      </c>
      <c r="B40">
        <v>15717426</v>
      </c>
      <c r="C40" t="s">
        <v>105</v>
      </c>
      <c r="D40">
        <v>850</v>
      </c>
      <c r="E40" t="s">
        <v>40</v>
      </c>
      <c r="F40" t="s">
        <v>69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P40">
        <v>0</v>
      </c>
      <c r="Q40">
        <v>2.6457513110000002</v>
      </c>
      <c r="R40">
        <v>1</v>
      </c>
      <c r="S40">
        <v>1</v>
      </c>
      <c r="T40">
        <v>1</v>
      </c>
      <c r="U40">
        <v>1</v>
      </c>
      <c r="V40">
        <v>40812.9</v>
      </c>
      <c r="W40">
        <v>1396</v>
      </c>
      <c r="X40" t="s">
        <v>70</v>
      </c>
      <c r="Y40" t="s">
        <v>43</v>
      </c>
      <c r="Z40">
        <v>4</v>
      </c>
      <c r="AN40" t="s">
        <v>137</v>
      </c>
      <c r="AO40">
        <v>4</v>
      </c>
      <c r="AP40">
        <v>5</v>
      </c>
      <c r="AQ40">
        <v>3</v>
      </c>
      <c r="AR40">
        <v>5</v>
      </c>
      <c r="AS40">
        <v>4</v>
      </c>
      <c r="AT40">
        <v>4</v>
      </c>
      <c r="AU40">
        <v>5</v>
      </c>
      <c r="AV40">
        <v>4</v>
      </c>
      <c r="AW40">
        <v>5</v>
      </c>
      <c r="AX40">
        <v>3</v>
      </c>
    </row>
    <row r="41" spans="1:61" x14ac:dyDescent="0.25">
      <c r="A41">
        <v>40</v>
      </c>
      <c r="B41">
        <v>15585768</v>
      </c>
      <c r="C41" t="s">
        <v>106</v>
      </c>
      <c r="D41">
        <v>582</v>
      </c>
      <c r="E41" t="s">
        <v>73</v>
      </c>
      <c r="F41" t="s">
        <v>69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P41">
        <v>70349.48</v>
      </c>
      <c r="Q41">
        <v>2.449489743</v>
      </c>
      <c r="R41">
        <v>0</v>
      </c>
      <c r="S41">
        <v>2</v>
      </c>
      <c r="T41">
        <v>1</v>
      </c>
      <c r="U41">
        <v>1</v>
      </c>
      <c r="V41">
        <v>248423.52</v>
      </c>
      <c r="W41">
        <v>412</v>
      </c>
      <c r="X41" t="s">
        <v>70</v>
      </c>
      <c r="Y41" t="s">
        <v>74</v>
      </c>
      <c r="Z41">
        <v>4</v>
      </c>
      <c r="AN41" t="s">
        <v>138</v>
      </c>
      <c r="AO41" t="s">
        <v>143</v>
      </c>
      <c r="AP41" t="s">
        <v>148</v>
      </c>
      <c r="AQ41" t="s">
        <v>153</v>
      </c>
      <c r="AR41" t="s">
        <v>158</v>
      </c>
      <c r="AS41" t="s">
        <v>162</v>
      </c>
      <c r="AT41" t="s">
        <v>143</v>
      </c>
      <c r="AU41" t="s">
        <v>171</v>
      </c>
      <c r="AV41" t="s">
        <v>148</v>
      </c>
      <c r="AW41" t="s">
        <v>153</v>
      </c>
      <c r="AX41" t="s">
        <v>182</v>
      </c>
    </row>
    <row r="43" spans="1:61" x14ac:dyDescent="0.25">
      <c r="AN43" t="s">
        <v>184</v>
      </c>
    </row>
    <row r="44" spans="1:61" x14ac:dyDescent="0.25">
      <c r="AN44">
        <f>HLOOKUP(AO34,AN34:AX38:AN38:AX38,5,)</f>
        <v>55000</v>
      </c>
    </row>
    <row r="45" spans="1:61" x14ac:dyDescent="0.25">
      <c r="AN45" t="str">
        <f>HLOOKUP(AW33,Table11[[EMP001]:[EMP010]],4,0)</f>
        <v>Sales</v>
      </c>
    </row>
    <row r="46" spans="1:61" x14ac:dyDescent="0.25">
      <c r="AN46">
        <f>HLOOKUP(AP33,AN33:AX41,2)</f>
        <v>32</v>
      </c>
    </row>
    <row r="47" spans="1:61" x14ac:dyDescent="0.25">
      <c r="AN47" t="str">
        <f>HLOOKUP(AW33,AO33:AX41,1)</f>
        <v>Arjun Kumar</v>
      </c>
    </row>
    <row r="48" spans="1:61" x14ac:dyDescent="0.25">
      <c r="AN48" t="s">
        <v>185</v>
      </c>
    </row>
    <row r="49" spans="40:40" x14ac:dyDescent="0.25">
      <c r="AN49">
        <f>MATCH("Arjun Kumar",AO15:AO24,0)</f>
        <v>3</v>
      </c>
    </row>
  </sheetData>
  <phoneticPr fontId="18" type="noConversion"/>
  <pageMargins left="0.7" right="0.7" top="0.75" bottom="0.75" header="0.3" footer="0.3"/>
  <pageSetup paperSize="9" orientation="portrait" verticalDpi="0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</dc:creator>
  <cp:lastModifiedBy>24695A3217@mits.com</cp:lastModifiedBy>
  <dcterms:created xsi:type="dcterms:W3CDTF">2026-06-01T09:57:16Z</dcterms:created>
  <dcterms:modified xsi:type="dcterms:W3CDTF">2026-06-02T11:17:52Z</dcterms:modified>
</cp:coreProperties>
</file>