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4900CDC7-8906-4E5D-83F2-6245B4382DAE}" xr6:coauthVersionLast="47" xr6:coauthVersionMax="47" xr10:uidLastSave="{00000000-0000-0000-0000-000000000000}"/>
  <bookViews>
    <workbookView xWindow="-120" yWindow="-120" windowWidth="29040" windowHeight="15720" activeTab="2" xr2:uid="{66085AAD-8C63-409F-9074-E7124E8D681E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H11" i="1" s="1"/>
  <c r="G10" i="1"/>
  <c r="H10" i="1" s="1"/>
  <c r="G9" i="1"/>
  <c r="H9" i="1" s="1"/>
  <c r="G8" i="1"/>
  <c r="G7" i="1"/>
  <c r="H7" i="1" s="1"/>
  <c r="G6" i="1"/>
  <c r="G5" i="1"/>
  <c r="G4" i="1"/>
  <c r="H4" i="1" s="1"/>
  <c r="G3" i="1"/>
  <c r="H3" i="1" s="1"/>
  <c r="G2" i="1"/>
  <c r="H2" i="1" s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H5" i="1"/>
  <c r="H6" i="1"/>
  <c r="I3" i="1"/>
  <c r="I4" i="1"/>
  <c r="I5" i="1"/>
  <c r="I6" i="1"/>
  <c r="I7" i="1"/>
  <c r="I8" i="1"/>
  <c r="I9" i="1"/>
  <c r="I10" i="1"/>
  <c r="I11" i="1"/>
  <c r="J3" i="1"/>
  <c r="J4" i="1"/>
  <c r="J5" i="1"/>
  <c r="J6" i="1"/>
  <c r="J7" i="1"/>
  <c r="J8" i="1"/>
  <c r="J9" i="1"/>
  <c r="J10" i="1"/>
  <c r="J11" i="1"/>
  <c r="J2" i="1"/>
  <c r="I2" i="1"/>
  <c r="M7" i="1" l="1"/>
  <c r="M6" i="1"/>
  <c r="M11" i="1"/>
  <c r="M3" i="1"/>
  <c r="M5" i="1"/>
  <c r="M4" i="1"/>
  <c r="M9" i="1"/>
  <c r="M8" i="1"/>
  <c r="H8" i="1"/>
  <c r="M2" i="1"/>
  <c r="M10" i="1"/>
</calcChain>
</file>

<file path=xl/sharedStrings.xml><?xml version="1.0" encoding="utf-8"?>
<sst xmlns="http://schemas.openxmlformats.org/spreadsheetml/2006/main" count="63" uniqueCount="60">
  <si>
    <t>SNO</t>
  </si>
  <si>
    <t>NAME</t>
  </si>
  <si>
    <t>M1</t>
  </si>
  <si>
    <t>M2</t>
  </si>
  <si>
    <t>M3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</si>
  <si>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</si>
  <si>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</si>
  <si>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</si>
  <si>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</si>
  <si>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</si>
  <si>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</si>
  <si>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</si>
  <si>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</si>
  <si>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</si>
  <si>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</si>
  <si>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MEAN</t>
  </si>
  <si>
    <t>MEDIAN</t>
  </si>
  <si>
    <t>MODE</t>
  </si>
  <si>
    <t>RANGE</t>
  </si>
  <si>
    <t>VARAINCE</t>
  </si>
  <si>
    <t xml:space="preserve">  STD-DEVIATION</t>
  </si>
  <si>
    <t>CORELATION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</si>
  <si>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</si>
  <si>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</si>
  <si>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</si>
  <si>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</si>
  <si>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</si>
  <si>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</si>
  <si>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</si>
  <si>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</si>
  <si>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</si>
  <si>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</si>
  <si>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</si>
  <si>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</si>
  <si>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</si>
  <si>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</si>
  <si>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</si>
  <si>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</si>
  <si>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</si>
  <si>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</si>
  <si>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</si>
  <si>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</si>
  <si>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</si>
  <si>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</si>
  <si>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</si>
  <si>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</si>
  <si>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</si>
  <si>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</si>
  <si>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</si>
  <si>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</si>
  <si>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</si>
  <si>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</si>
  <si>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</si>
  <si>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</si>
  <si>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</si>
  <si>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</si>
  <si>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</si>
  <si>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</si>
  <si>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</si>
  <si>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STUDYHOURS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</si>
</sst>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STUDYHOURS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Sheet1!$F$2:$F$11</c:f>
              <c:numCache>
                <c:formatCode>General</c:formatCode>
                <c:ptCount val="10"/>
                <c:pt idx="0">
                  <c:v>6</c:v>
                </c:pt>
                <c:pt idx="1">
                  <c:v>4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2</c:v>
                </c:pt>
                <c:pt idx="6">
                  <c:v>7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7-4D91-92C9-721DC210B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8986543"/>
        <c:axId val="1038990383"/>
      </c:lineChart>
      <c:catAx>
        <c:axId val="103898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90383"/>
        <c:crosses val="autoZero"/>
        <c:auto val="1"/>
        <c:lblAlgn val="ctr"/>
        <c:lblOffset val="100"/>
        <c:noMultiLvlLbl val="0"/>
      </c:catAx>
      <c:valAx>
        <c:axId val="1038990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8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Sheet1!$C$1</c:f>
              <c:strCache>
                <c:ptCount val="1"/>
                <c:pt idx="0">
                  <c:v>M1</c:v>
                </c:pt>
              </c:strCache>
            </c:strRef>
          </c:cat>
          <c:val>
            <c:numRef>
              <c:f>Sheet1!$C$2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0-4F59-879F-20AEB8A57B25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Sheet1!$C$1</c:f>
              <c:strCache>
                <c:ptCount val="1"/>
                <c:pt idx="0">
                  <c:v>M1</c:v>
                </c:pt>
              </c:strCache>
            </c:strRef>
          </c:cat>
          <c:val>
            <c:numRef>
              <c:f>Sheet1!$C$3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0-4F59-879F-20AEB8A57B25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Sheet1!$C$1</c:f>
              <c:strCache>
                <c:ptCount val="1"/>
                <c:pt idx="0">
                  <c:v>M1</c:v>
                </c:pt>
              </c:strCache>
            </c:strRef>
          </c:cat>
          <c:val>
            <c:numRef>
              <c:f>Sheet1!$C$4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E0-4F59-879F-20AEB8A57B25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Sheet1!$C$1</c:f>
              <c:strCache>
                <c:ptCount val="1"/>
                <c:pt idx="0">
                  <c:v>M1</c:v>
                </c:pt>
              </c:strCache>
            </c:strRef>
          </c:cat>
          <c:val>
            <c:numRef>
              <c:f>Sheet1!$C$5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E0-4F59-879F-20AEB8A57B25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Sheet1!$C$1</c:f>
              <c:strCache>
                <c:ptCount val="1"/>
                <c:pt idx="0">
                  <c:v>M1</c:v>
                </c:pt>
              </c:strCache>
            </c:strRef>
          </c:cat>
          <c:val>
            <c:numRef>
              <c:f>Sheet1!$C$6</c:f>
              <c:numCache>
                <c:formatCode>General</c:formatCode>
                <c:ptCount val="1"/>
                <c:pt idx="0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E0-4F59-879F-20AEB8A57B25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Sheet1!$C$1</c:f>
              <c:strCache>
                <c:ptCount val="1"/>
                <c:pt idx="0">
                  <c:v>M1</c:v>
                </c:pt>
              </c:strCache>
            </c:strRef>
          </c:cat>
          <c:val>
            <c:numRef>
              <c:f>Sheet1!$C$7</c:f>
              <c:numCache>
                <c:formatCode>General</c:formatCode>
                <c:ptCount val="1"/>
                <c:pt idx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E0-4F59-879F-20AEB8A57B25}"/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Sheet1!$C$1</c:f>
              <c:strCache>
                <c:ptCount val="1"/>
                <c:pt idx="0">
                  <c:v>M1</c:v>
                </c:pt>
              </c:strCache>
            </c:strRef>
          </c:cat>
          <c:val>
            <c:numRef>
              <c:f>Sheet1!$C$8</c:f>
              <c:numCache>
                <c:formatCode>General</c:formatCode>
                <c:ptCount val="1"/>
                <c:pt idx="0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E0-4F59-879F-20AEB8A57B25}"/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Sheet1!$C$1</c:f>
              <c:strCache>
                <c:ptCount val="1"/>
                <c:pt idx="0">
                  <c:v>M1</c:v>
                </c:pt>
              </c:strCache>
            </c:strRef>
          </c:cat>
          <c:val>
            <c:numRef>
              <c:f>Sheet1!$C$9</c:f>
              <c:numCache>
                <c:formatCode>General</c:formatCode>
                <c:ptCount val="1"/>
                <c:pt idx="0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E0-4F59-879F-20AEB8A57B25}"/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Sheet1!$C$1</c:f>
              <c:strCache>
                <c:ptCount val="1"/>
                <c:pt idx="0">
                  <c:v>M1</c:v>
                </c:pt>
              </c:strCache>
            </c:strRef>
          </c:cat>
          <c:val>
            <c:numRef>
              <c:f>Sheet1!$C$10</c:f>
              <c:numCache>
                <c:formatCode>General</c:formatCode>
                <c:ptCount val="1"/>
                <c:pt idx="0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E0-4F59-879F-20AEB8A57B25}"/>
            </c:ext>
          </c:extLst>
        </c:ser>
        <c:ser>
          <c:idx val="9"/>
          <c:order val="9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Sheet1!$C$1</c:f>
              <c:strCache>
                <c:ptCount val="1"/>
                <c:pt idx="0">
                  <c:v>M1</c:v>
                </c:pt>
              </c:strCache>
            </c:strRef>
          </c:cat>
          <c:val>
            <c:numRef>
              <c:f>Sheet1!$C$11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E0-4F59-879F-20AEB8A57B25}"/>
            </c:ext>
          </c:extLst>
        </c:ser>
        <c:ser>
          <c:idx val="10"/>
          <c:order val="10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Sheet1!$C$1</c:f>
              <c:strCache>
                <c:ptCount val="1"/>
                <c:pt idx="0">
                  <c:v>M1</c:v>
                </c:pt>
              </c:strCache>
            </c:strRef>
          </c:cat>
          <c:val>
            <c:numRef>
              <c:f>Sheet1!$C$12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A-CAE0-4F59-879F-20AEB8A57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699215"/>
        <c:axId val="76700655"/>
        <c:axId val="0"/>
      </c:bar3DChart>
      <c:catAx>
        <c:axId val="7669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00655"/>
        <c:crosses val="autoZero"/>
        <c:auto val="1"/>
        <c:lblAlgn val="ctr"/>
        <c:lblOffset val="100"/>
        <c:noMultiLvlLbl val="0"/>
      </c:catAx>
      <c:valAx>
        <c:axId val="7670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9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576262</xdr:colOff>
      <xdr:row>18</xdr:row>
      <xdr:rowOff>147637</xdr:rowOff>
    </xdr:from>
    <xdr:to>
      <xdr:col>11</xdr:col>
      <xdr:colOff>519112</xdr:colOff>
      <xdr:row>33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F49BD1-ABB2-65D9-DDC3-4B4BA275F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1004887</xdr:colOff>
      <xdr:row>18</xdr:row>
      <xdr:rowOff>71437</xdr:rowOff>
    </xdr:from>
    <xdr:to>
      <xdr:col>19</xdr:col>
      <xdr:colOff>223837</xdr:colOff>
      <xdr:row>32</xdr:row>
      <xdr:rowOff>147637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5DC1B2-55CF-02D3-53BA-28220A712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9F01-487D-4604-A65C-876ECD095E26}">
  <dimension ref="A1:I18"/>
  <sheetViews>
    <sheetView workbookViewId="0">
      <selection activeCell="G14" sqref="G14"/>
    </sheetView>
  </sheetViews>
  <sheetFormatPr defaultRowHeight="15" x14ac:dyDescent="0.25"/>
  <sheetData>
    <row r="1" spans="1:9" x14ac:dyDescent="0.25">
      <c r="A1" t="s">
        <v>22</v>
      </c>
    </row>
    <row r="2" spans="1:9" ht="15.75" thickBot="1" x14ac:dyDescent="0.3"/>
    <row r="3" spans="1:9" x14ac:dyDescent="0.25">
      <c r="A3" s="5" t="s">
        <v>23</v>
      </c>
      <c r="B3" s="5"/>
    </row>
    <row r="4" spans="1:9" x14ac:dyDescent="0.25">
      <c r="A4" s="2" t="s">
        <v>24</v>
      </c>
      <c r="B4" s="2">
        <v>2.3484055744721274E-3</v>
      </c>
    </row>
    <row r="5" spans="1:9" x14ac:dyDescent="0.25">
      <c r="A5" s="2" t="s">
        <v>25</v>
      </c>
      <c r="B5" s="2">
        <v>5.5150087422117619E-6</v>
      </c>
    </row>
    <row r="6" spans="1:9" x14ac:dyDescent="0.25">
      <c r="A6" s="2" t="s">
        <v>26</v>
      </c>
      <c r="B6" s="2">
        <v>-0.12499379561516501</v>
      </c>
    </row>
    <row r="7" spans="1:9" x14ac:dyDescent="0.25">
      <c r="A7" s="2" t="s">
        <v>27</v>
      </c>
      <c r="B7" s="2">
        <v>17.841265215891493</v>
      </c>
    </row>
    <row r="8" spans="1:9" ht="15.75" thickBot="1" x14ac:dyDescent="0.3">
      <c r="A8" s="3" t="s">
        <v>28</v>
      </c>
      <c r="B8" s="3">
        <v>10</v>
      </c>
    </row>
    <row r="10" spans="1:9" ht="15.75" thickBot="1" x14ac:dyDescent="0.3">
      <c r="A10" t="s">
        <v>29</v>
      </c>
    </row>
    <row r="11" spans="1:9" x14ac:dyDescent="0.25">
      <c r="A11" s="4"/>
      <c r="B11" s="4" t="s">
        <v>34</v>
      </c>
      <c r="C11" s="4" t="s">
        <v>35</v>
      </c>
      <c r="D11" s="4" t="s">
        <v>36</v>
      </c>
      <c r="E11" s="4" t="s">
        <v>10</v>
      </c>
      <c r="F11" s="4" t="s">
        <v>37</v>
      </c>
    </row>
    <row r="12" spans="1:9" x14ac:dyDescent="0.25">
      <c r="A12" s="2" t="s">
        <v>30</v>
      </c>
      <c r="B12" s="2">
        <v>1</v>
      </c>
      <c r="C12" s="2">
        <v>1.4043969762042252E-2</v>
      </c>
      <c r="D12" s="2">
        <v>1.4043969762042252E-2</v>
      </c>
      <c r="E12" s="2">
        <v>4.4120313261607441E-5</v>
      </c>
      <c r="F12" s="2">
        <v>0.99486289113710502</v>
      </c>
    </row>
    <row r="13" spans="1:9" x14ac:dyDescent="0.25">
      <c r="A13" s="2" t="s">
        <v>31</v>
      </c>
      <c r="B13" s="2">
        <v>8</v>
      </c>
      <c r="C13" s="2">
        <v>2546.485956030238</v>
      </c>
      <c r="D13" s="2">
        <v>318.31074450377974</v>
      </c>
      <c r="E13" s="2"/>
      <c r="F13" s="2"/>
    </row>
    <row r="14" spans="1:9" ht="15.75" thickBot="1" x14ac:dyDescent="0.3">
      <c r="A14" s="3" t="s">
        <v>32</v>
      </c>
      <c r="B14" s="3">
        <v>9</v>
      </c>
      <c r="C14" s="3">
        <v>2546.5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38</v>
      </c>
      <c r="C16" s="4" t="s">
        <v>27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25">
      <c r="A17" s="2" t="s">
        <v>33</v>
      </c>
      <c r="B17" s="2">
        <v>75.399819682363542</v>
      </c>
      <c r="C17" s="2">
        <v>16.102862201783619</v>
      </c>
      <c r="D17" s="2">
        <v>4.6823861955430477</v>
      </c>
      <c r="E17" s="2">
        <v>1.5769958436644257E-3</v>
      </c>
      <c r="F17" s="2">
        <v>38.266552856427637</v>
      </c>
      <c r="G17" s="2">
        <v>112.53308650829945</v>
      </c>
      <c r="H17" s="2">
        <v>38.266552856427637</v>
      </c>
      <c r="I17" s="2">
        <v>112.53308650829945</v>
      </c>
    </row>
    <row r="18" spans="1:9" ht="15.75" thickBot="1" x14ac:dyDescent="0.3">
      <c r="A18" s="3" t="s">
        <v>45</v>
      </c>
      <c r="B18" s="3">
        <v>1.5604410846799157E-3</v>
      </c>
      <c r="C18" s="3">
        <v>0.2349243763471216</v>
      </c>
      <c r="D18" s="3">
        <v>6.6423123429908597E-3</v>
      </c>
      <c r="E18" s="3">
        <v>0.99486289113709092</v>
      </c>
      <c r="F18" s="3">
        <v>-0.54017614223204258</v>
      </c>
      <c r="G18" s="3">
        <v>0.54329702440140237</v>
      </c>
      <c r="H18" s="3">
        <v>-0.54017614223204258</v>
      </c>
      <c r="I18" s="3">
        <v>0.54329702440140237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B28C9-D9E4-4532-B5C3-0100B96286AC}">
  <dimension ref="A1:B15"/>
  <sheetViews>
    <sheetView workbookViewId="0">
      <selection sqref="A1:B15"/>
    </sheetView>
  </sheetViews>
  <sheetFormatPr defaultRowHeight="15" x14ac:dyDescent="0.25"/>
  <sheetData>
    <row r="1" spans="1:2" x14ac:dyDescent="0.25">
      <c r="A1" s="5" t="s">
        <v>46</v>
      </c>
      <c r="B1" s="5"/>
    </row>
    <row r="2" spans="1:2" x14ac:dyDescent="0.25">
      <c r="A2" s="2"/>
      <c r="B2" s="2"/>
    </row>
    <row r="3" spans="1:2" x14ac:dyDescent="0.25">
      <c r="A3" s="2" t="s">
        <v>47</v>
      </c>
      <c r="B3" s="2">
        <v>75.5</v>
      </c>
    </row>
    <row r="4" spans="1:2" x14ac:dyDescent="0.25">
      <c r="A4" s="2" t="s">
        <v>27</v>
      </c>
      <c r="B4" s="2">
        <v>5.3192522448596513</v>
      </c>
    </row>
    <row r="5" spans="1:2" x14ac:dyDescent="0.25">
      <c r="A5" s="2" t="s">
        <v>48</v>
      </c>
      <c r="B5" s="2">
        <v>69.5</v>
      </c>
    </row>
    <row r="6" spans="1:2" x14ac:dyDescent="0.25">
      <c r="A6" s="2" t="s">
        <v>49</v>
      </c>
      <c r="B6" s="2">
        <v>65</v>
      </c>
    </row>
    <row r="7" spans="1:2" x14ac:dyDescent="0.25">
      <c r="A7" s="2" t="s">
        <v>50</v>
      </c>
      <c r="B7" s="2">
        <v>16.820952542720178</v>
      </c>
    </row>
    <row r="8" spans="1:2" x14ac:dyDescent="0.25">
      <c r="A8" s="2" t="s">
        <v>51</v>
      </c>
      <c r="B8" s="2">
        <v>282.94444444444446</v>
      </c>
    </row>
    <row r="9" spans="1:2" x14ac:dyDescent="0.25">
      <c r="A9" s="2" t="s">
        <v>52</v>
      </c>
      <c r="B9" s="2">
        <v>-1.6758610123229074</v>
      </c>
    </row>
    <row r="10" spans="1:2" x14ac:dyDescent="0.25">
      <c r="A10" s="2" t="s">
        <v>53</v>
      </c>
      <c r="B10" s="2">
        <v>0.29625613730369255</v>
      </c>
    </row>
    <row r="11" spans="1:2" x14ac:dyDescent="0.25">
      <c r="A11" s="2" t="s">
        <v>54</v>
      </c>
      <c r="B11" s="2">
        <v>45</v>
      </c>
    </row>
    <row r="12" spans="1:2" x14ac:dyDescent="0.25">
      <c r="A12" s="2" t="s">
        <v>55</v>
      </c>
      <c r="B12" s="2">
        <v>54</v>
      </c>
    </row>
    <row r="13" spans="1:2" x14ac:dyDescent="0.25">
      <c r="A13" s="2" t="s">
        <v>56</v>
      </c>
      <c r="B13" s="2">
        <v>99</v>
      </c>
    </row>
    <row r="14" spans="1:2" x14ac:dyDescent="0.25">
      <c r="A14" s="2" t="s">
        <v>57</v>
      </c>
      <c r="B14" s="2">
        <v>755</v>
      </c>
    </row>
    <row r="15" spans="1:2" ht="15.75" thickBot="1" x14ac:dyDescent="0.3">
      <c r="A15" s="3" t="s">
        <v>58</v>
      </c>
      <c r="B15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80DE-3815-4B61-A57C-A55B51F0D1AD}">
  <dimension ref="A1:M11"/>
  <sheetViews>
    <sheetView tabSelected="1" zoomScaleNormal="100" workbookViewId="0">
      <selection activeCell="N4" sqref="N4"/>
    </sheetView>
  </sheetViews>
  <sheetFormatPr defaultRowHeight="15" x14ac:dyDescent="0.25"/>
  <cols>
    <col min="2" max="2" width="9.140625" customWidth="1"/>
    <col min="3" max="3" width="8.28515625" customWidth="1"/>
    <col min="6" max="6" width="14.5703125" customWidth="1"/>
    <col min="12" max="12" width="16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 x14ac:dyDescent="0.25">
      <c r="A2">
        <v>1</v>
      </c>
      <c r="B2" t="s">
        <v>5</v>
      </c>
      <c r="C2">
        <v>84</v>
      </c>
      <c r="D2">
        <v>25</v>
      </c>
      <c r="E2">
        <v>65</v>
      </c>
      <c r="F2">
        <v>6</v>
      </c>
      <c r="G2">
        <f>AVERAGE(C2:F2)</f>
        <v>45</v>
      </c>
      <c r="H2">
        <f>MEDIAN(C2:G2)</f>
        <v>45</v>
      </c>
      <c r="I2">
        <f>MEDIAN(C2:E2)</f>
        <v>65</v>
      </c>
      <c r="J2">
        <f>MAX(C2:E2)-MIN(C2:E2)</f>
        <v>59</v>
      </c>
      <c r="K2">
        <f>VAR(C2:E2)</f>
        <v>907</v>
      </c>
      <c r="L2">
        <f>STDEV(C2:E2)</f>
        <v>30.116440692751194</v>
      </c>
      <c r="M2">
        <f>CORREL(F1:F11,G1:G11)</f>
        <v>-0.14223548239184997</v>
      </c>
    </row>
    <row r="3" spans="1:13" x14ac:dyDescent="0.25">
      <c r="A3">
        <v>2</v>
      </c>
      <c r="B3" t="s">
        <v>6</v>
      </c>
      <c r="C3">
        <v>65</v>
      </c>
      <c r="D3">
        <v>65</v>
      </c>
      <c r="E3">
        <v>65</v>
      </c>
      <c r="F3">
        <v>4</v>
      </c>
      <c r="G3">
        <f>AVERAGE(C3:F3)</f>
        <v>49.75</v>
      </c>
      <c r="H3">
        <f>MEDIAN(C3:G3)</f>
        <v>65</v>
      </c>
      <c r="I3">
        <f>MEDIAN(C3:E3)</f>
        <v>65</v>
      </c>
      <c r="J3">
        <f>MAX(C3:E3)-MIN(C3:E3)</f>
        <v>0</v>
      </c>
      <c r="K3">
        <f>VAR(C3:E3)</f>
        <v>0</v>
      </c>
      <c r="L3">
        <f t="shared" ref="L3:L11" si="0">STDEV(C3:E3)</f>
        <v>0</v>
      </c>
      <c r="M3">
        <f t="shared" ref="M3:M11" si="1">CORREL(F2:F12,G2:G12)</f>
        <v>-0.14223548239184997</v>
      </c>
    </row>
    <row r="4" spans="1:13" x14ac:dyDescent="0.25">
      <c r="A4">
        <v>3</v>
      </c>
      <c r="B4" t="s">
        <v>7</v>
      </c>
      <c r="C4">
        <v>25</v>
      </c>
      <c r="D4">
        <v>98</v>
      </c>
      <c r="E4">
        <v>64</v>
      </c>
      <c r="F4">
        <v>9</v>
      </c>
      <c r="G4">
        <f>AVERAGE(C4:F4)</f>
        <v>49</v>
      </c>
      <c r="H4">
        <f>MEDIAN(C4:G4)</f>
        <v>49</v>
      </c>
      <c r="I4">
        <f>MEDIAN(C4:E4)</f>
        <v>64</v>
      </c>
      <c r="J4">
        <f>MAX(C4:E4)-MIN(C4:E4)</f>
        <v>73</v>
      </c>
      <c r="K4">
        <f>VAR(C4:E4)</f>
        <v>1334.333333333333</v>
      </c>
      <c r="L4">
        <f t="shared" si="0"/>
        <v>36.528527664461556</v>
      </c>
      <c r="M4">
        <f t="shared" si="1"/>
        <v>-0.18698196879578444</v>
      </c>
    </row>
    <row r="5" spans="1:13" x14ac:dyDescent="0.25">
      <c r="A5">
        <v>4</v>
      </c>
      <c r="B5" t="s">
        <v>8</v>
      </c>
      <c r="C5">
        <v>64</v>
      </c>
      <c r="D5">
        <v>54</v>
      </c>
      <c r="E5">
        <v>98</v>
      </c>
      <c r="F5">
        <v>7</v>
      </c>
      <c r="G5">
        <f>AVERAGE(C5:F5)</f>
        <v>55.75</v>
      </c>
      <c r="H5">
        <f>MEDIAN(C5:G5)</f>
        <v>55.75</v>
      </c>
      <c r="I5">
        <f>MEDIAN(C5:E5)</f>
        <v>64</v>
      </c>
      <c r="J5">
        <f>MAX(C5:E5)-MIN(C5:E5)</f>
        <v>44</v>
      </c>
      <c r="K5">
        <f>VAR(C5:E5)</f>
        <v>532</v>
      </c>
      <c r="L5">
        <f t="shared" si="0"/>
        <v>23.065125189341593</v>
      </c>
      <c r="M5">
        <f t="shared" si="1"/>
        <v>-0.34523348680891297</v>
      </c>
    </row>
    <row r="6" spans="1:13" x14ac:dyDescent="0.25">
      <c r="A6">
        <v>5</v>
      </c>
      <c r="B6" t="s">
        <v>9</v>
      </c>
      <c r="C6">
        <v>98</v>
      </c>
      <c r="D6">
        <v>89</v>
      </c>
      <c r="E6">
        <v>54</v>
      </c>
      <c r="F6">
        <v>6</v>
      </c>
      <c r="G6">
        <f>AVERAGE(C6:F6)</f>
        <v>61.75</v>
      </c>
      <c r="H6">
        <f>MEDIAN(C6:G6)</f>
        <v>61.75</v>
      </c>
      <c r="I6">
        <f>MEDIAN(C6:E6)</f>
        <v>89</v>
      </c>
      <c r="J6">
        <f>MAX(C6:E6)-MIN(C6:E6)</f>
        <v>44</v>
      </c>
      <c r="K6">
        <f>VAR(C6:E6)</f>
        <v>540.33333333333394</v>
      </c>
      <c r="L6">
        <f t="shared" si="0"/>
        <v>23.2450711621482</v>
      </c>
      <c r="M6">
        <f t="shared" si="1"/>
        <v>-0.20701413824180606</v>
      </c>
    </row>
    <row r="7" spans="1:13" x14ac:dyDescent="0.25">
      <c r="A7">
        <v>6</v>
      </c>
      <c r="B7" t="s">
        <v>10</v>
      </c>
      <c r="C7">
        <v>54</v>
      </c>
      <c r="D7">
        <v>74</v>
      </c>
      <c r="E7">
        <v>89</v>
      </c>
      <c r="F7">
        <v>2</v>
      </c>
      <c r="G7">
        <f>AVERAGE(C7:F7)</f>
        <v>54.75</v>
      </c>
      <c r="H7">
        <f>MEDIAN(C7:G7)</f>
        <v>54.75</v>
      </c>
      <c r="I7">
        <f>MEDIAN(C7:E7)</f>
        <v>74</v>
      </c>
      <c r="J7">
        <f>MAX(C7:E7)-MIN(C7:E7)</f>
        <v>35</v>
      </c>
      <c r="K7">
        <f>VAR(C7:E7)</f>
        <v>308.33333333333303</v>
      </c>
      <c r="L7">
        <f t="shared" si="0"/>
        <v>17.559422921421223</v>
      </c>
      <c r="M7">
        <f t="shared" si="1"/>
        <v>-0.20094524043134404</v>
      </c>
    </row>
    <row r="8" spans="1:13" x14ac:dyDescent="0.25">
      <c r="A8">
        <v>7</v>
      </c>
      <c r="B8" t="s">
        <v>11</v>
      </c>
      <c r="C8">
        <v>89</v>
      </c>
      <c r="D8">
        <v>89</v>
      </c>
      <c r="E8">
        <v>74</v>
      </c>
      <c r="F8">
        <v>7</v>
      </c>
      <c r="G8">
        <f>AVERAGE(C8:F8)</f>
        <v>64.75</v>
      </c>
      <c r="H8">
        <f>MEDIAN(C8:G8)</f>
        <v>74</v>
      </c>
      <c r="I8">
        <f>MEDIAN(C8:E8)</f>
        <v>89</v>
      </c>
      <c r="J8">
        <f>MAX(C8:E8)-MIN(C8:E8)</f>
        <v>15</v>
      </c>
      <c r="K8">
        <f>VAR(C8:E8)</f>
        <v>75</v>
      </c>
      <c r="L8">
        <f t="shared" si="0"/>
        <v>8.6602540378443873</v>
      </c>
      <c r="M8">
        <f t="shared" si="1"/>
        <v>-0.20278443074255234</v>
      </c>
    </row>
    <row r="9" spans="1:13" x14ac:dyDescent="0.25">
      <c r="A9">
        <v>8</v>
      </c>
      <c r="B9" t="s">
        <v>12</v>
      </c>
      <c r="C9">
        <v>74</v>
      </c>
      <c r="D9">
        <v>58</v>
      </c>
      <c r="E9">
        <v>89</v>
      </c>
      <c r="F9">
        <v>5</v>
      </c>
      <c r="G9">
        <f>AVERAGE(C9:F9)</f>
        <v>56.5</v>
      </c>
      <c r="H9">
        <f>MEDIAN(C9:G9)</f>
        <v>58</v>
      </c>
      <c r="I9">
        <f>MEDIAN(C9:E9)</f>
        <v>74</v>
      </c>
      <c r="J9">
        <f>MAX(C9:E9)-MIN(C9:E9)</f>
        <v>31</v>
      </c>
      <c r="K9">
        <f>VAR(C9:E9)</f>
        <v>240.33333333333303</v>
      </c>
      <c r="L9">
        <f t="shared" si="0"/>
        <v>15.502687938977971</v>
      </c>
      <c r="M9">
        <f t="shared" si="1"/>
        <v>-0.50686460271625788</v>
      </c>
    </row>
    <row r="10" spans="1:13" x14ac:dyDescent="0.25">
      <c r="A10">
        <v>9</v>
      </c>
      <c r="B10" t="s">
        <v>13</v>
      </c>
      <c r="C10">
        <v>89</v>
      </c>
      <c r="D10">
        <v>24</v>
      </c>
      <c r="E10">
        <v>58</v>
      </c>
      <c r="F10">
        <v>9</v>
      </c>
      <c r="G10">
        <f>AVERAGE(C10:F10)</f>
        <v>45</v>
      </c>
      <c r="H10">
        <f>MEDIAN(C10:G10)</f>
        <v>45</v>
      </c>
      <c r="I10">
        <f>MEDIAN(C10:E10)</f>
        <v>58</v>
      </c>
      <c r="J10">
        <f>MAX(C10:E10)-MIN(C10:E10)</f>
        <v>65</v>
      </c>
      <c r="K10">
        <f>VAR(C10:E10)</f>
        <v>1057</v>
      </c>
      <c r="L10">
        <f t="shared" si="0"/>
        <v>32.511536414017719</v>
      </c>
      <c r="M10">
        <f t="shared" si="1"/>
        <v>-0.62654927533255633</v>
      </c>
    </row>
    <row r="11" spans="1:13" x14ac:dyDescent="0.25">
      <c r="A11">
        <v>10</v>
      </c>
      <c r="B11" t="s">
        <v>14</v>
      </c>
      <c r="C11">
        <v>58</v>
      </c>
      <c r="D11">
        <v>66</v>
      </c>
      <c r="E11">
        <v>99</v>
      </c>
      <c r="F11">
        <v>8</v>
      </c>
      <c r="G11">
        <f>AVERAGE(C11:F11)</f>
        <v>57.75</v>
      </c>
      <c r="H11">
        <f>MEDIAN(C11:G11)</f>
        <v>58</v>
      </c>
      <c r="I11">
        <f>MEDIAN(C11:E11)</f>
        <v>66</v>
      </c>
      <c r="J11">
        <f>MAX(C11:E11)-MIN(C11:E11)</f>
        <v>41</v>
      </c>
      <c r="K11">
        <f>VAR(C11:E11)</f>
        <v>472.33333333333394</v>
      </c>
      <c r="L11">
        <f t="shared" si="0"/>
        <v>21.733231083604064</v>
      </c>
      <c r="M11">
        <f t="shared" si="1"/>
        <v>-1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24695A3217@mits.com</dc:creator>
  <cp:lastModifiedBy>24695A3217@mits.com</cp:lastModifiedBy>
  <dcterms:created xsi:type="dcterms:W3CDTF">2026-05-26T09:01:39Z</dcterms:created>
  <dcterms:modified xsi:type="dcterms:W3CDTF">2026-05-26T10:21:19Z</dcterms:modified>
</cp:coreProperties>
</file>